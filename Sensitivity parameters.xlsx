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E:\Documents\Trabajos\Modelo Sostenibilidad Universidad Militar\Modelado\"/>
    </mc:Choice>
  </mc:AlternateContent>
  <xr:revisionPtr revIDLastSave="0" documentId="13_ncr:1_{A88C95AC-06D8-4244-8289-AA4F3A2AD79D}" xr6:coauthVersionLast="47" xr6:coauthVersionMax="47" xr10:uidLastSave="{00000000-0000-0000-0000-000000000000}"/>
  <bookViews>
    <workbookView xWindow="12375" yWindow="1065" windowWidth="14355" windowHeight="14385" firstSheet="1" activeTab="2" xr2:uid="{00000000-000D-0000-FFFF-FFFF00000000}"/>
  </bookViews>
  <sheets>
    <sheet name="Sensibilidad" sheetId="14" r:id="rId1"/>
    <sheet name="BAU" sheetId="17" r:id="rId2"/>
    <sheet name="BAU-OP-PE" sheetId="1" r:id="rId3"/>
    <sheet name="BAV-OP" sheetId="7" r:id="rId4"/>
    <sheet name="BAV-PE" sheetId="12" r:id="rId5"/>
    <sheet name="BAU-ES" sheetId="1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1" l="1"/>
  <c r="D12" i="1"/>
  <c r="B12" i="1"/>
  <c r="AC15" i="14"/>
  <c r="AD15" i="14"/>
  <c r="AC16" i="14"/>
  <c r="AD16" i="14"/>
  <c r="AC17" i="14"/>
  <c r="AD17" i="14"/>
  <c r="AC18" i="14"/>
  <c r="AD18" i="14"/>
  <c r="D5" i="1" s="1"/>
  <c r="AC19" i="14"/>
  <c r="AD19" i="14"/>
  <c r="AC20" i="14"/>
  <c r="C7" i="1" s="1"/>
  <c r="AD20" i="14"/>
  <c r="AC21" i="14"/>
  <c r="AD21" i="14"/>
  <c r="AC22" i="14"/>
  <c r="AD22" i="14"/>
  <c r="AC23" i="14"/>
  <c r="AD23" i="14"/>
  <c r="AC24" i="14"/>
  <c r="AD24" i="14"/>
  <c r="AC25" i="14"/>
  <c r="AD25" i="14"/>
  <c r="AC14" i="14"/>
  <c r="AD14" i="14"/>
  <c r="AB14" i="14"/>
  <c r="B3" i="1"/>
  <c r="C3" i="1"/>
  <c r="D3" i="1"/>
  <c r="B4" i="1"/>
  <c r="C4" i="1"/>
  <c r="D4" i="1"/>
  <c r="B5" i="1"/>
  <c r="C5" i="1"/>
  <c r="B6" i="1"/>
  <c r="C6" i="1"/>
  <c r="D6" i="1"/>
  <c r="B7" i="1"/>
  <c r="D7" i="1"/>
  <c r="B8" i="1"/>
  <c r="C8" i="1"/>
  <c r="D8" i="1"/>
  <c r="B9" i="1"/>
  <c r="C9" i="1"/>
  <c r="D9" i="1"/>
  <c r="B10" i="1"/>
  <c r="C10" i="1"/>
  <c r="D10" i="1"/>
  <c r="B11" i="1"/>
  <c r="C11" i="1"/>
  <c r="D11" i="1"/>
  <c r="C2" i="1"/>
  <c r="D2" i="1"/>
  <c r="B2" i="1"/>
  <c r="E11" i="17"/>
  <c r="D11" i="17"/>
  <c r="C11" i="17"/>
  <c r="B11" i="17"/>
  <c r="E10" i="17"/>
  <c r="D10" i="17"/>
  <c r="C10" i="17"/>
  <c r="B10" i="17"/>
  <c r="E9" i="17"/>
  <c r="D9" i="17"/>
  <c r="C9" i="17"/>
  <c r="B9" i="17"/>
  <c r="E8" i="17"/>
  <c r="D8" i="17"/>
  <c r="C8" i="17"/>
  <c r="B8" i="17"/>
  <c r="E7" i="17"/>
  <c r="D7" i="17"/>
  <c r="C7" i="17"/>
  <c r="B7" i="17"/>
  <c r="E6" i="17"/>
  <c r="D6" i="17"/>
  <c r="C6" i="17"/>
  <c r="B6" i="17"/>
  <c r="E5" i="17"/>
  <c r="D5" i="17"/>
  <c r="C5" i="17"/>
  <c r="B5" i="17"/>
  <c r="E4" i="17"/>
  <c r="D4" i="17"/>
  <c r="C4" i="17"/>
  <c r="B4" i="17"/>
  <c r="E3" i="17"/>
  <c r="D3" i="17"/>
  <c r="C3" i="17"/>
  <c r="B3" i="17"/>
  <c r="E2" i="17"/>
  <c r="D2" i="17"/>
  <c r="C2" i="17"/>
  <c r="B2" i="17"/>
  <c r="Q25" i="14"/>
  <c r="T16" i="14"/>
  <c r="C5" i="12"/>
  <c r="D5" i="12"/>
  <c r="E5" i="12"/>
  <c r="B5" i="12"/>
  <c r="C5" i="7"/>
  <c r="D5" i="7"/>
  <c r="E5" i="7"/>
  <c r="B5" i="7"/>
  <c r="S18" i="14"/>
  <c r="T18" i="14"/>
  <c r="U18" i="14"/>
  <c r="V18" i="14"/>
  <c r="W18" i="14"/>
  <c r="X18" i="14"/>
  <c r="Y18" i="14"/>
  <c r="Z18" i="14"/>
  <c r="AA18" i="14"/>
  <c r="AB18" i="14"/>
  <c r="R15" i="14"/>
  <c r="R16" i="14"/>
  <c r="R17" i="14"/>
  <c r="R18" i="14"/>
  <c r="R19" i="14"/>
  <c r="R20" i="14"/>
  <c r="R21" i="14"/>
  <c r="R22" i="14"/>
  <c r="R23" i="14"/>
  <c r="R24" i="14"/>
  <c r="R25" i="14"/>
  <c r="R14" i="14"/>
  <c r="Q18" i="14"/>
  <c r="S16" i="14"/>
  <c r="X16" i="14"/>
  <c r="Y16" i="14"/>
  <c r="Z16" i="14"/>
  <c r="AA16" i="14"/>
  <c r="Q16" i="14"/>
  <c r="C2" i="12"/>
  <c r="D2" i="12"/>
  <c r="B2" i="12"/>
  <c r="C2" i="7"/>
  <c r="D2" i="7"/>
  <c r="AB20" i="14"/>
  <c r="E7" i="12" s="1"/>
  <c r="Q21" i="14"/>
  <c r="Q20" i="14"/>
  <c r="X20" i="14" s="1"/>
  <c r="D7" i="7" s="1"/>
  <c r="AB16" i="14" l="1"/>
  <c r="V16" i="14"/>
  <c r="W16" i="14"/>
  <c r="U16" i="14"/>
  <c r="S20" i="14"/>
  <c r="V20" i="14"/>
  <c r="U20" i="14"/>
  <c r="W20" i="14"/>
  <c r="C7" i="7" s="1"/>
  <c r="T20" i="14"/>
  <c r="AA20" i="14"/>
  <c r="D7" i="12" s="1"/>
  <c r="Z20" i="14"/>
  <c r="C7" i="12" s="1"/>
  <c r="Y20" i="14"/>
  <c r="E7" i="7" s="1"/>
  <c r="Q15" i="14"/>
  <c r="Q17" i="14"/>
  <c r="S17" i="14" s="1"/>
  <c r="Q19" i="14"/>
  <c r="S19" i="14" s="1"/>
  <c r="T21" i="14"/>
  <c r="Q22" i="14"/>
  <c r="U22" i="14" s="1"/>
  <c r="Q23" i="14"/>
  <c r="Y23" i="14" s="1"/>
  <c r="E10" i="7" s="1"/>
  <c r="Q24" i="14"/>
  <c r="S24" i="14" s="1"/>
  <c r="AB25" i="14"/>
  <c r="E12" i="12" s="1"/>
  <c r="Q14" i="14"/>
  <c r="W23" i="14" l="1"/>
  <c r="C10" i="7" s="1"/>
  <c r="T23" i="14"/>
  <c r="U23" i="14"/>
  <c r="W25" i="14"/>
  <c r="C12" i="7" s="1"/>
  <c r="B11" i="7"/>
  <c r="B11" i="12"/>
  <c r="B6" i="12"/>
  <c r="B6" i="7"/>
  <c r="B4" i="12"/>
  <c r="B4" i="7"/>
  <c r="X23" i="14"/>
  <c r="D10" i="7" s="1"/>
  <c r="B7" i="12"/>
  <c r="B7" i="7"/>
  <c r="S25" i="14"/>
  <c r="Y25" i="14"/>
  <c r="E12" i="7" s="1"/>
  <c r="V25" i="14"/>
  <c r="U25" i="14"/>
  <c r="X25" i="14"/>
  <c r="D12" i="7" s="1"/>
  <c r="T22" i="14"/>
  <c r="V23" i="14"/>
  <c r="AB21" i="14"/>
  <c r="E8" i="12" s="1"/>
  <c r="AA21" i="14"/>
  <c r="D8" i="12" s="1"/>
  <c r="AA25" i="14"/>
  <c r="D12" i="12" s="1"/>
  <c r="S23" i="14"/>
  <c r="AB22" i="14"/>
  <c r="E9" i="12" s="1"/>
  <c r="Y21" i="14"/>
  <c r="E8" i="7" s="1"/>
  <c r="AA22" i="14"/>
  <c r="D9" i="12" s="1"/>
  <c r="X21" i="14"/>
  <c r="D8" i="7" s="1"/>
  <c r="S21" i="14"/>
  <c r="W21" i="14"/>
  <c r="C8" i="7" s="1"/>
  <c r="AB23" i="14"/>
  <c r="E10" i="12" s="1"/>
  <c r="Y22" i="14"/>
  <c r="E9" i="7" s="1"/>
  <c r="V21" i="14"/>
  <c r="Z21" i="14"/>
  <c r="C8" i="12" s="1"/>
  <c r="S22" i="14"/>
  <c r="Z22" i="14"/>
  <c r="C9" i="12" s="1"/>
  <c r="AA23" i="14"/>
  <c r="D10" i="12" s="1"/>
  <c r="X22" i="14"/>
  <c r="D9" i="7" s="1"/>
  <c r="U21" i="14"/>
  <c r="Z23" i="14"/>
  <c r="C10" i="12" s="1"/>
  <c r="W22" i="14"/>
  <c r="C9" i="7" s="1"/>
  <c r="V22" i="14"/>
  <c r="T25" i="14"/>
  <c r="Z25" i="14"/>
  <c r="C12" i="12" s="1"/>
  <c r="T17" i="14"/>
  <c r="T15" i="14"/>
  <c r="T14" i="14"/>
  <c r="S15" i="14"/>
  <c r="U15" i="14"/>
  <c r="V15" i="14"/>
  <c r="W15" i="14"/>
  <c r="C3" i="7" s="1"/>
  <c r="X15" i="14"/>
  <c r="D3" i="7" s="1"/>
  <c r="Y15" i="14"/>
  <c r="E3" i="7" s="1"/>
  <c r="Z15" i="14"/>
  <c r="C3" i="12" s="1"/>
  <c r="AA15" i="14"/>
  <c r="D3" i="12" s="1"/>
  <c r="AB15" i="14"/>
  <c r="E3" i="12" s="1"/>
  <c r="U17" i="14"/>
  <c r="V17" i="14"/>
  <c r="W17" i="14"/>
  <c r="C4" i="7" s="1"/>
  <c r="X17" i="14"/>
  <c r="D4" i="7" s="1"/>
  <c r="Y17" i="14"/>
  <c r="E4" i="7" s="1"/>
  <c r="Z17" i="14"/>
  <c r="C4" i="12" s="1"/>
  <c r="AA17" i="14"/>
  <c r="D4" i="12" s="1"/>
  <c r="AB17" i="14"/>
  <c r="E4" i="12" s="1"/>
  <c r="T19" i="14"/>
  <c r="U19" i="14"/>
  <c r="V19" i="14"/>
  <c r="W19" i="14"/>
  <c r="C6" i="7" s="1"/>
  <c r="X19" i="14"/>
  <c r="D6" i="7" s="1"/>
  <c r="Y19" i="14"/>
  <c r="E6" i="7" s="1"/>
  <c r="Z19" i="14"/>
  <c r="C6" i="12" s="1"/>
  <c r="AA19" i="14"/>
  <c r="D6" i="12" s="1"/>
  <c r="AB19" i="14"/>
  <c r="E6" i="12" s="1"/>
  <c r="T24" i="14"/>
  <c r="U24" i="14"/>
  <c r="V24" i="14"/>
  <c r="W24" i="14"/>
  <c r="C11" i="7" s="1"/>
  <c r="X24" i="14"/>
  <c r="D11" i="7" s="1"/>
  <c r="Y24" i="14"/>
  <c r="E11" i="7" s="1"/>
  <c r="Z24" i="14"/>
  <c r="C11" i="12" s="1"/>
  <c r="AA24" i="14"/>
  <c r="D11" i="12" s="1"/>
  <c r="AB24" i="14"/>
  <c r="E11" i="12" s="1"/>
  <c r="U14" i="14"/>
  <c r="V14" i="14"/>
  <c r="W14" i="14"/>
  <c r="X14" i="14"/>
  <c r="Y14" i="14"/>
  <c r="E2" i="7" s="1"/>
  <c r="Z14" i="14"/>
  <c r="AA14" i="14"/>
  <c r="E2" i="12"/>
  <c r="S14" i="14"/>
  <c r="B3" i="12" l="1"/>
  <c r="B3" i="7"/>
  <c r="B10" i="7"/>
  <c r="B10" i="12"/>
  <c r="B12" i="12"/>
  <c r="B12" i="7"/>
  <c r="B8" i="7"/>
  <c r="B8" i="12"/>
  <c r="B9" i="7"/>
  <c r="B9" i="12"/>
  <c r="B2" i="7"/>
</calcChain>
</file>

<file path=xl/sharedStrings.xml><?xml version="1.0" encoding="utf-8"?>
<sst xmlns="http://schemas.openxmlformats.org/spreadsheetml/2006/main" count="203" uniqueCount="61">
  <si>
    <t>PMW</t>
  </si>
  <si>
    <t>UW</t>
  </si>
  <si>
    <t>PCU</t>
  </si>
  <si>
    <t>PDRM</t>
  </si>
  <si>
    <t>PIRM</t>
  </si>
  <si>
    <t>BAV-PE-PM</t>
  </si>
  <si>
    <t>BAV-OP-PM</t>
  </si>
  <si>
    <t>BAI-PM</t>
  </si>
  <si>
    <t>BAI-W</t>
  </si>
  <si>
    <t>BAI-P</t>
  </si>
  <si>
    <t>BAU</t>
  </si>
  <si>
    <t>Value</t>
  </si>
  <si>
    <t>•</t>
  </si>
  <si>
    <t>NOr</t>
  </si>
  <si>
    <t>Production (P)</t>
  </si>
  <si>
    <t>Pessimistic (PE)</t>
  </si>
  <si>
    <t>Optimistic (OP)</t>
  </si>
  <si>
    <t>Workers (W)</t>
  </si>
  <si>
    <t>Production Management (PM)</t>
  </si>
  <si>
    <t>-</t>
  </si>
  <si>
    <t>All</t>
  </si>
  <si>
    <t>No Strategy Implementation</t>
  </si>
  <si>
    <t>Variable Modified ID</t>
  </si>
  <si>
    <t>Model Sector</t>
  </si>
  <si>
    <t>Strategy</t>
  </si>
  <si>
    <t>Variación por escenario</t>
  </si>
  <si>
    <t>Variables asociadas al escenario</t>
  </si>
  <si>
    <t>Run</t>
  </si>
  <si>
    <t>BAV-OP-W</t>
  </si>
  <si>
    <t>BAV-PE-P</t>
  </si>
  <si>
    <t>BAV-PE-W</t>
  </si>
  <si>
    <t>BAV-OP-P</t>
  </si>
  <si>
    <t>Run 1</t>
  </si>
  <si>
    <t>Run 2</t>
  </si>
  <si>
    <t>Run 3</t>
  </si>
  <si>
    <t>Run 4</t>
  </si>
  <si>
    <t>Run 5</t>
  </si>
  <si>
    <t>Nor</t>
  </si>
  <si>
    <t>PEFgr</t>
  </si>
  <si>
    <t>TEF</t>
  </si>
  <si>
    <t>WEF</t>
  </si>
  <si>
    <t>BAI-PW</t>
  </si>
  <si>
    <t>BAV-OP-PW</t>
  </si>
  <si>
    <t>BAV-PE-PW</t>
  </si>
  <si>
    <t>PWD</t>
  </si>
  <si>
    <t>PWCA</t>
  </si>
  <si>
    <t>PFCE</t>
  </si>
  <si>
    <t>DSCT</t>
  </si>
  <si>
    <t>WUP</t>
  </si>
  <si>
    <t>STi</t>
  </si>
  <si>
    <t>BAU-P</t>
  </si>
  <si>
    <t>BAU-W</t>
  </si>
  <si>
    <t>BAU-PW</t>
  </si>
  <si>
    <t>OP-P</t>
  </si>
  <si>
    <t>OP-W</t>
  </si>
  <si>
    <t>OP-PW</t>
  </si>
  <si>
    <t>PE-P</t>
  </si>
  <si>
    <t>PE-W</t>
  </si>
  <si>
    <t>PE-PW</t>
  </si>
  <si>
    <t>BAU-PE</t>
  </si>
  <si>
    <t>BAU-OP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</si>
</sst>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0.000"/>
    <numFmt numFmtId="165" formatCode="0.0000"/>
    <numFmt numFmtId="166" formatCode="#,###.00\ &quot;%&quot;"/>
    <numFmt numFmtId="167" formatCode="&quot;$&quot;\ #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403D39"/>
      <name val="Arial"/>
      <family val="2"/>
    </font>
    <font>
      <b/>
      <sz val="11"/>
      <color rgb="FF403D3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11">
    <border>
      <left/>
      <right/>
      <top/>
      <bottom/>
      <diagonal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theme="2"/>
      </left>
      <right style="medium">
        <color indexed="64"/>
      </right>
      <top style="medium">
        <color theme="2"/>
      </top>
      <bottom style="medium">
        <color indexed="64"/>
      </bottom>
      <diagonal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indexed="64"/>
      </bottom>
      <diagonal/>
    </border>
    <border>
      <left style="medium">
        <color indexed="64"/>
      </left>
      <right style="medium">
        <color theme="2"/>
      </right>
      <top style="medium">
        <color theme="2"/>
      </top>
      <bottom style="medium">
        <color indexed="64"/>
      </bottom>
      <diagonal/>
    </border>
    <border>
      <left style="medium">
        <color theme="2"/>
      </left>
      <right style="medium">
        <color indexed="64"/>
      </right>
      <top style="medium">
        <color theme="2"/>
      </top>
      <bottom style="medium">
        <color theme="2"/>
      </bottom>
      <diagonal/>
    </border>
    <border>
      <left style="medium">
        <color indexed="64"/>
      </left>
      <right style="medium">
        <color theme="2"/>
      </right>
      <top style="medium">
        <color theme="2"/>
      </top>
      <bottom style="medium">
        <color theme="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8">
    <xf numFmtId="0" fontId="0" fillId="0" borderId="0" xfId="0"/>
    <xf numFmtId="0" fontId="0" fillId="2" borderId="0" xfId="0" applyFill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3" fillId="6" borderId="1" xfId="0" applyFont="1" applyFill="1" applyBorder="1" applyAlignment="1">
      <alignment horizontal="left" vertical="top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left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left" vertical="top" wrapText="1"/>
    </xf>
    <xf numFmtId="0" fontId="3" fillId="6" borderId="6" xfId="0" applyFont="1" applyFill="1" applyBorder="1" applyAlignment="1">
      <alignment horizontal="left" vertical="top" wrapText="1"/>
    </xf>
    <xf numFmtId="0" fontId="3" fillId="6" borderId="7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left" vertical="top" wrapText="1"/>
    </xf>
    <xf numFmtId="10" fontId="3" fillId="6" borderId="1" xfId="1" applyNumberFormat="1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164" fontId="0" fillId="0" borderId="0" xfId="0" applyNumberFormat="1"/>
    <xf numFmtId="0" fontId="4" fillId="7" borderId="9" xfId="0" applyFont="1" applyFill="1" applyBorder="1" applyAlignment="1">
      <alignment horizontal="center" vertical="center" wrapText="1"/>
    </xf>
    <xf numFmtId="165" fontId="3" fillId="6" borderId="1" xfId="0" applyNumberFormat="1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1" applyFont="1"/>
    <xf numFmtId="0" fontId="3" fillId="6" borderId="0" xfId="0" applyFont="1" applyFill="1" applyAlignment="1">
      <alignment horizontal="left" vertical="top" wrapText="1"/>
    </xf>
    <xf numFmtId="10" fontId="3" fillId="6" borderId="0" xfId="1" applyNumberFormat="1" applyFont="1" applyFill="1" applyBorder="1" applyAlignment="1">
      <alignment horizontal="center" vertical="center" wrapText="1"/>
    </xf>
    <xf numFmtId="2" fontId="3" fillId="6" borderId="1" xfId="0" applyNumberFormat="1" applyFont="1" applyFill="1" applyBorder="1" applyAlignment="1">
      <alignment horizontal="center" vertical="center" wrapText="1"/>
    </xf>
    <xf numFmtId="1" fontId="3" fillId="6" borderId="1" xfId="0" applyNumberFormat="1" applyFont="1" applyFill="1" applyBorder="1" applyAlignment="1">
      <alignment horizontal="center" vertical="center" wrapText="1"/>
    </xf>
    <xf numFmtId="166" fontId="3" fillId="6" borderId="1" xfId="0" applyNumberFormat="1" applyFont="1" applyFill="1" applyBorder="1" applyAlignment="1">
      <alignment horizontal="center" vertical="center" wrapText="1"/>
    </xf>
    <xf numFmtId="167" fontId="3" fillId="6" borderId="1" xfId="2" applyNumberFormat="1" applyFont="1" applyFill="1" applyBorder="1" applyAlignment="1">
      <alignment horizontal="center" vertical="center" wrapText="1"/>
    </xf>
    <xf numFmtId="0" fontId="0" fillId="4" borderId="0" xfId="0" applyFill="1"/>
    <xf numFmtId="0" fontId="3" fillId="6" borderId="1" xfId="2" applyNumberFormat="1" applyFont="1" applyFill="1" applyBorder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3" fillId="6" borderId="8" xfId="0" applyFont="1" applyFill="1" applyBorder="1" applyAlignment="1">
      <alignment horizontal="left" vertical="top" wrapText="1"/>
    </xf>
    <xf numFmtId="0" fontId="2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</cellXfs>
  <cellStyles count="3">
    <cellStyle name="Moneda" xfId="2" builtinId="4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4BD2F-172D-4738-A392-FFC694E3AD9E}">
  <dimension ref="A1:AD54"/>
  <sheetViews>
    <sheetView topLeftCell="C6" zoomScale="85" zoomScaleNormal="85" workbookViewId="0">
      <selection activeCell="AC25" sqref="AC25"/>
    </sheetView>
  </sheetViews>
  <sheetFormatPr baseColWidth="10" defaultRowHeight="15" x14ac:dyDescent="0.25"/>
  <cols>
    <col min="1" max="1" width="15.7109375" customWidth="1"/>
    <col min="2" max="2" width="14.85546875" customWidth="1"/>
    <col min="3" max="3" width="11.28515625" customWidth="1"/>
    <col min="4" max="15" width="8" customWidth="1"/>
    <col min="17" max="17" width="14.140625" bestFit="1" customWidth="1"/>
    <col min="18" max="18" width="9.85546875" bestFit="1" customWidth="1"/>
    <col min="19" max="19" width="12" bestFit="1" customWidth="1"/>
    <col min="20" max="20" width="11.85546875" bestFit="1" customWidth="1"/>
    <col min="21" max="21" width="13.28515625" bestFit="1" customWidth="1"/>
    <col min="22" max="22" width="11.85546875" bestFit="1" customWidth="1"/>
    <col min="23" max="26" width="10.5703125" bestFit="1" customWidth="1"/>
    <col min="27" max="27" width="11.42578125" bestFit="1" customWidth="1"/>
    <col min="28" max="28" width="10.5703125" bestFit="1" customWidth="1"/>
    <col min="30" max="30" width="11.85546875" bestFit="1" customWidth="1"/>
  </cols>
  <sheetData>
    <row r="1" spans="1:30" ht="45.75" thickBot="1" x14ac:dyDescent="0.3">
      <c r="A1" s="20" t="s">
        <v>24</v>
      </c>
      <c r="B1" s="7" t="s">
        <v>23</v>
      </c>
      <c r="C1" s="7" t="s">
        <v>22</v>
      </c>
      <c r="D1" s="7" t="s">
        <v>10</v>
      </c>
      <c r="E1" s="7" t="s">
        <v>9</v>
      </c>
      <c r="F1" s="7" t="s">
        <v>8</v>
      </c>
      <c r="G1" s="7" t="s">
        <v>7</v>
      </c>
      <c r="H1" s="7" t="s">
        <v>31</v>
      </c>
      <c r="I1" s="7" t="s">
        <v>28</v>
      </c>
      <c r="J1" s="7" t="s">
        <v>6</v>
      </c>
      <c r="K1" s="7" t="s">
        <v>29</v>
      </c>
      <c r="L1" s="7" t="s">
        <v>30</v>
      </c>
      <c r="M1" s="6" t="s">
        <v>5</v>
      </c>
    </row>
    <row r="2" spans="1:30" ht="29.25" thickBot="1" x14ac:dyDescent="0.3">
      <c r="A2" s="15" t="s">
        <v>21</v>
      </c>
      <c r="B2" s="5" t="s">
        <v>20</v>
      </c>
      <c r="C2" s="5" t="s">
        <v>19</v>
      </c>
      <c r="D2" s="14" t="s">
        <v>12</v>
      </c>
      <c r="E2" s="14"/>
      <c r="F2" s="14"/>
      <c r="G2" s="14"/>
      <c r="H2" s="14"/>
      <c r="I2" s="14"/>
      <c r="J2" s="14"/>
      <c r="K2" s="14"/>
      <c r="L2" s="14"/>
      <c r="M2" s="13"/>
    </row>
    <row r="3" spans="1:30" ht="15.75" thickBot="1" x14ac:dyDescent="0.3">
      <c r="A3" s="35" t="s">
        <v>18</v>
      </c>
      <c r="B3" s="5" t="s">
        <v>14</v>
      </c>
      <c r="C3" s="5" t="s">
        <v>4</v>
      </c>
      <c r="D3" s="14"/>
      <c r="E3" s="14" t="s">
        <v>12</v>
      </c>
      <c r="F3" s="14"/>
      <c r="G3" s="14" t="s">
        <v>12</v>
      </c>
      <c r="H3" s="14" t="s">
        <v>12</v>
      </c>
      <c r="I3" s="14"/>
      <c r="J3" s="14" t="s">
        <v>12</v>
      </c>
      <c r="K3" s="14" t="s">
        <v>12</v>
      </c>
      <c r="L3" s="14"/>
      <c r="M3" s="13" t="s">
        <v>12</v>
      </c>
    </row>
    <row r="4" spans="1:30" ht="15.75" thickBot="1" x14ac:dyDescent="0.3">
      <c r="A4" s="35"/>
      <c r="B4" s="5"/>
      <c r="C4" s="5" t="s">
        <v>3</v>
      </c>
      <c r="D4" s="14"/>
      <c r="E4" s="14" t="s">
        <v>12</v>
      </c>
      <c r="F4" s="14"/>
      <c r="G4" s="14" t="s">
        <v>12</v>
      </c>
      <c r="H4" s="14" t="s">
        <v>12</v>
      </c>
      <c r="I4" s="14"/>
      <c r="J4" s="14" t="s">
        <v>12</v>
      </c>
      <c r="K4" s="14" t="s">
        <v>12</v>
      </c>
      <c r="L4" s="14"/>
      <c r="M4" s="13" t="s">
        <v>12</v>
      </c>
    </row>
    <row r="5" spans="1:30" ht="15.75" thickBot="1" x14ac:dyDescent="0.3">
      <c r="A5" s="35"/>
      <c r="B5" s="5"/>
      <c r="C5" s="5" t="s">
        <v>2</v>
      </c>
      <c r="D5" s="14"/>
      <c r="E5" s="14" t="s">
        <v>12</v>
      </c>
      <c r="F5" s="14"/>
      <c r="G5" s="14" t="s">
        <v>12</v>
      </c>
      <c r="H5" s="14" t="s">
        <v>12</v>
      </c>
      <c r="I5" s="14"/>
      <c r="J5" s="14" t="s">
        <v>12</v>
      </c>
      <c r="K5" s="14" t="s">
        <v>12</v>
      </c>
      <c r="L5" s="14"/>
      <c r="M5" s="13" t="s">
        <v>12</v>
      </c>
    </row>
    <row r="6" spans="1:30" ht="15.75" thickBot="1" x14ac:dyDescent="0.3">
      <c r="A6" s="35"/>
      <c r="B6" s="5" t="s">
        <v>17</v>
      </c>
      <c r="C6" s="5" t="s">
        <v>1</v>
      </c>
      <c r="D6" s="14"/>
      <c r="E6" s="14"/>
      <c r="F6" s="14" t="s">
        <v>12</v>
      </c>
      <c r="G6" s="14" t="s">
        <v>12</v>
      </c>
      <c r="H6" s="14"/>
      <c r="I6" s="14" t="s">
        <v>12</v>
      </c>
      <c r="J6" s="14" t="s">
        <v>12</v>
      </c>
      <c r="K6" s="14"/>
      <c r="L6" s="14" t="s">
        <v>12</v>
      </c>
      <c r="M6" s="13" t="s">
        <v>12</v>
      </c>
    </row>
    <row r="7" spans="1:30" ht="15.75" thickBot="1" x14ac:dyDescent="0.3">
      <c r="A7" s="35"/>
      <c r="B7" s="5"/>
      <c r="C7" s="5" t="s">
        <v>0</v>
      </c>
      <c r="D7" s="14"/>
      <c r="E7" s="14"/>
      <c r="F7" s="14" t="s">
        <v>12</v>
      </c>
      <c r="G7" s="14" t="s">
        <v>12</v>
      </c>
      <c r="H7" s="14"/>
      <c r="I7" s="14" t="s">
        <v>12</v>
      </c>
      <c r="J7" s="14" t="s">
        <v>12</v>
      </c>
      <c r="K7" s="14"/>
      <c r="L7" s="14" t="s">
        <v>12</v>
      </c>
      <c r="M7" s="13" t="s">
        <v>12</v>
      </c>
    </row>
    <row r="8" spans="1:30" ht="15.75" thickBot="1" x14ac:dyDescent="0.3">
      <c r="A8" s="15" t="s">
        <v>16</v>
      </c>
      <c r="B8" s="5" t="s">
        <v>14</v>
      </c>
      <c r="C8" s="5" t="s">
        <v>13</v>
      </c>
      <c r="D8" s="14"/>
      <c r="E8" s="14"/>
      <c r="F8" s="14"/>
      <c r="G8" s="14"/>
      <c r="H8" s="14" t="s">
        <v>12</v>
      </c>
      <c r="I8" s="14" t="s">
        <v>12</v>
      </c>
      <c r="J8" s="14" t="s">
        <v>12</v>
      </c>
      <c r="K8" s="14"/>
      <c r="L8" s="14"/>
      <c r="M8" s="13"/>
    </row>
    <row r="9" spans="1:30" ht="29.25" thickBot="1" x14ac:dyDescent="0.3">
      <c r="A9" s="12" t="s">
        <v>15</v>
      </c>
      <c r="B9" s="11" t="s">
        <v>14</v>
      </c>
      <c r="C9" s="11" t="s">
        <v>13</v>
      </c>
      <c r="D9" s="10"/>
      <c r="E9" s="10"/>
      <c r="F9" s="10"/>
      <c r="G9" s="10"/>
      <c r="H9" s="10"/>
      <c r="I9" s="10"/>
      <c r="J9" s="10"/>
      <c r="K9" s="10" t="s">
        <v>12</v>
      </c>
      <c r="L9" s="10" t="s">
        <v>12</v>
      </c>
      <c r="M9" s="9" t="s">
        <v>12</v>
      </c>
    </row>
    <row r="12" spans="1:30" ht="15.75" thickBot="1" x14ac:dyDescent="0.3">
      <c r="Q12" s="37" t="s">
        <v>26</v>
      </c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</row>
    <row r="13" spans="1:30" ht="45.75" thickBot="1" x14ac:dyDescent="0.3">
      <c r="Q13" s="7" t="s">
        <v>11</v>
      </c>
      <c r="R13" s="7" t="s">
        <v>22</v>
      </c>
      <c r="S13" s="7" t="s">
        <v>10</v>
      </c>
      <c r="T13" s="7" t="s">
        <v>50</v>
      </c>
      <c r="U13" s="7" t="s">
        <v>51</v>
      </c>
      <c r="V13" s="7" t="s">
        <v>52</v>
      </c>
      <c r="W13" s="7" t="s">
        <v>53</v>
      </c>
      <c r="X13" s="7" t="s">
        <v>54</v>
      </c>
      <c r="Y13" s="7" t="s">
        <v>55</v>
      </c>
      <c r="Z13" s="7" t="s">
        <v>56</v>
      </c>
      <c r="AA13" s="7" t="s">
        <v>57</v>
      </c>
      <c r="AB13" s="7" t="s">
        <v>58</v>
      </c>
      <c r="AC13" s="7" t="s">
        <v>59</v>
      </c>
      <c r="AD13" s="7" t="s">
        <v>60</v>
      </c>
    </row>
    <row r="14" spans="1:30" ht="15.75" thickBot="1" x14ac:dyDescent="0.3">
      <c r="Q14" s="21">
        <f>Q28</f>
        <v>10</v>
      </c>
      <c r="R14" s="5" t="str">
        <f>R28</f>
        <v>PIRM</v>
      </c>
      <c r="S14" s="30">
        <f>$Q14*S28</f>
        <v>10</v>
      </c>
      <c r="T14" s="30">
        <f>$Q14*T28</f>
        <v>20</v>
      </c>
      <c r="U14" s="30">
        <f t="shared" ref="U14:AA14" si="0">$Q14*U28</f>
        <v>10</v>
      </c>
      <c r="V14" s="30">
        <f t="shared" si="0"/>
        <v>20</v>
      </c>
      <c r="W14" s="30">
        <f t="shared" si="0"/>
        <v>20</v>
      </c>
      <c r="X14" s="30">
        <f t="shared" si="0"/>
        <v>10</v>
      </c>
      <c r="Y14" s="30">
        <f t="shared" si="0"/>
        <v>20</v>
      </c>
      <c r="Z14" s="30">
        <f t="shared" si="0"/>
        <v>20</v>
      </c>
      <c r="AA14" s="30">
        <f t="shared" si="0"/>
        <v>10</v>
      </c>
      <c r="AB14" s="30">
        <f>$Q14*AB28</f>
        <v>20</v>
      </c>
      <c r="AC14" s="30">
        <f t="shared" ref="AC14:AD14" si="1">$Q14*AC28</f>
        <v>10</v>
      </c>
      <c r="AD14" s="30">
        <f t="shared" si="1"/>
        <v>10</v>
      </c>
    </row>
    <row r="15" spans="1:30" ht="15.75" thickBot="1" x14ac:dyDescent="0.3">
      <c r="Q15" s="21">
        <f t="shared" ref="Q15:R16" si="2">Q29</f>
        <v>5</v>
      </c>
      <c r="R15" s="5" t="str">
        <f t="shared" si="2"/>
        <v>PDRM</v>
      </c>
      <c r="S15" s="30">
        <f t="shared" ref="S15:AD16" si="3">$Q15*S29</f>
        <v>5</v>
      </c>
      <c r="T15" s="30">
        <f t="shared" ref="T15:T25" si="4">$Q15*T29</f>
        <v>10</v>
      </c>
      <c r="U15" s="30">
        <f t="shared" si="3"/>
        <v>5</v>
      </c>
      <c r="V15" s="30">
        <f t="shared" si="3"/>
        <v>10</v>
      </c>
      <c r="W15" s="30">
        <f t="shared" si="3"/>
        <v>10</v>
      </c>
      <c r="X15" s="30">
        <f t="shared" si="3"/>
        <v>5</v>
      </c>
      <c r="Y15" s="30">
        <f t="shared" si="3"/>
        <v>10</v>
      </c>
      <c r="Z15" s="30">
        <f t="shared" si="3"/>
        <v>10</v>
      </c>
      <c r="AA15" s="30">
        <f t="shared" si="3"/>
        <v>5</v>
      </c>
      <c r="AB15" s="30">
        <f t="shared" si="3"/>
        <v>10</v>
      </c>
      <c r="AC15" s="30">
        <f t="shared" si="3"/>
        <v>5</v>
      </c>
      <c r="AD15" s="30">
        <f t="shared" si="3"/>
        <v>5</v>
      </c>
    </row>
    <row r="16" spans="1:30" ht="15.75" thickBot="1" x14ac:dyDescent="0.3">
      <c r="Q16" s="21">
        <f t="shared" si="2"/>
        <v>5</v>
      </c>
      <c r="R16" s="5" t="str">
        <f t="shared" si="2"/>
        <v>WUP</v>
      </c>
      <c r="S16" s="30">
        <f t="shared" si="3"/>
        <v>5</v>
      </c>
      <c r="T16" s="30">
        <f>$Q16*T30</f>
        <v>2.5</v>
      </c>
      <c r="U16" s="30">
        <f t="shared" si="3"/>
        <v>5</v>
      </c>
      <c r="V16" s="30">
        <f t="shared" si="3"/>
        <v>3.75</v>
      </c>
      <c r="W16" s="30">
        <f t="shared" si="3"/>
        <v>2.5</v>
      </c>
      <c r="X16" s="30">
        <f t="shared" si="3"/>
        <v>5</v>
      </c>
      <c r="Y16" s="30">
        <f t="shared" si="3"/>
        <v>3.75</v>
      </c>
      <c r="Z16" s="30">
        <f t="shared" si="3"/>
        <v>2.5</v>
      </c>
      <c r="AA16" s="30">
        <f t="shared" si="3"/>
        <v>5</v>
      </c>
      <c r="AB16" s="30">
        <f t="shared" si="3"/>
        <v>3.75</v>
      </c>
      <c r="AC16" s="30">
        <f t="shared" si="3"/>
        <v>5</v>
      </c>
      <c r="AD16" s="30">
        <f t="shared" si="3"/>
        <v>5</v>
      </c>
    </row>
    <row r="17" spans="14:30" ht="15.75" thickBot="1" x14ac:dyDescent="0.3">
      <c r="Q17" s="21">
        <f t="shared" ref="Q17:Q25" si="5">Q31</f>
        <v>520</v>
      </c>
      <c r="R17" s="5" t="str">
        <f t="shared" ref="R17:R25" si="6">R31</f>
        <v>PCU</v>
      </c>
      <c r="S17" s="31">
        <f t="shared" ref="S17:S25" si="7">$Q17*S31</f>
        <v>520</v>
      </c>
      <c r="T17" s="31">
        <f t="shared" si="4"/>
        <v>416</v>
      </c>
      <c r="U17" s="31">
        <f t="shared" ref="U17:AD25" si="8">$Q17*U31</f>
        <v>520</v>
      </c>
      <c r="V17" s="31">
        <f t="shared" si="8"/>
        <v>390</v>
      </c>
      <c r="W17" s="31">
        <f t="shared" si="8"/>
        <v>416</v>
      </c>
      <c r="X17" s="31">
        <f t="shared" si="8"/>
        <v>520</v>
      </c>
      <c r="Y17" s="31">
        <f t="shared" si="8"/>
        <v>390</v>
      </c>
      <c r="Z17" s="31">
        <f t="shared" si="8"/>
        <v>416</v>
      </c>
      <c r="AA17" s="31">
        <f t="shared" si="8"/>
        <v>520</v>
      </c>
      <c r="AB17" s="31">
        <f t="shared" si="8"/>
        <v>390</v>
      </c>
      <c r="AC17" s="30">
        <f t="shared" si="8"/>
        <v>520</v>
      </c>
      <c r="AD17" s="30">
        <f t="shared" si="8"/>
        <v>520</v>
      </c>
    </row>
    <row r="18" spans="14:30" ht="15.75" thickBot="1" x14ac:dyDescent="0.3">
      <c r="Q18" s="21">
        <f t="shared" si="5"/>
        <v>1</v>
      </c>
      <c r="R18" s="5" t="str">
        <f t="shared" si="6"/>
        <v>STi</v>
      </c>
      <c r="S18" s="33">
        <f t="shared" si="7"/>
        <v>1</v>
      </c>
      <c r="T18" s="33">
        <f t="shared" si="4"/>
        <v>1</v>
      </c>
      <c r="U18" s="33">
        <f t="shared" si="8"/>
        <v>1.25</v>
      </c>
      <c r="V18" s="33">
        <f t="shared" si="8"/>
        <v>1.1000000000000001</v>
      </c>
      <c r="W18" s="33">
        <f t="shared" si="8"/>
        <v>1</v>
      </c>
      <c r="X18" s="33">
        <f t="shared" si="8"/>
        <v>1.25</v>
      </c>
      <c r="Y18" s="33">
        <f t="shared" si="8"/>
        <v>1.1000000000000001</v>
      </c>
      <c r="Z18" s="33">
        <f t="shared" si="8"/>
        <v>1</v>
      </c>
      <c r="AA18" s="33">
        <f t="shared" si="8"/>
        <v>1.25</v>
      </c>
      <c r="AB18" s="33">
        <f t="shared" si="8"/>
        <v>1.1000000000000001</v>
      </c>
      <c r="AC18" s="30">
        <f t="shared" si="8"/>
        <v>1</v>
      </c>
      <c r="AD18" s="30">
        <f t="shared" si="8"/>
        <v>1</v>
      </c>
    </row>
    <row r="19" spans="14:30" ht="15.75" thickBot="1" x14ac:dyDescent="0.3">
      <c r="Q19" s="21">
        <f t="shared" si="5"/>
        <v>20</v>
      </c>
      <c r="R19" s="5" t="str">
        <f t="shared" si="6"/>
        <v>UW</v>
      </c>
      <c r="S19" s="29">
        <f t="shared" si="7"/>
        <v>20</v>
      </c>
      <c r="T19" s="29">
        <f t="shared" si="4"/>
        <v>24</v>
      </c>
      <c r="U19" s="29">
        <f t="shared" si="8"/>
        <v>16</v>
      </c>
      <c r="V19" s="29">
        <f t="shared" si="8"/>
        <v>20</v>
      </c>
      <c r="W19" s="29">
        <f t="shared" si="8"/>
        <v>24</v>
      </c>
      <c r="X19" s="29">
        <f t="shared" si="8"/>
        <v>16</v>
      </c>
      <c r="Y19" s="29">
        <f t="shared" si="8"/>
        <v>20</v>
      </c>
      <c r="Z19" s="29">
        <f t="shared" si="8"/>
        <v>24</v>
      </c>
      <c r="AA19" s="29">
        <f t="shared" si="8"/>
        <v>16</v>
      </c>
      <c r="AB19" s="29">
        <f t="shared" si="8"/>
        <v>20</v>
      </c>
      <c r="AC19" s="30">
        <f t="shared" si="8"/>
        <v>20</v>
      </c>
      <c r="AD19" s="30">
        <f t="shared" si="8"/>
        <v>20</v>
      </c>
    </row>
    <row r="20" spans="14:30" ht="15.75" thickBot="1" x14ac:dyDescent="0.3">
      <c r="Q20" s="21">
        <f t="shared" si="5"/>
        <v>1</v>
      </c>
      <c r="R20" s="5" t="str">
        <f t="shared" si="6"/>
        <v>DSCT</v>
      </c>
      <c r="S20" s="28">
        <f t="shared" si="7"/>
        <v>1</v>
      </c>
      <c r="T20" s="28">
        <f t="shared" si="4"/>
        <v>1.25</v>
      </c>
      <c r="U20" s="28">
        <f t="shared" si="8"/>
        <v>1</v>
      </c>
      <c r="V20" s="28">
        <f t="shared" si="8"/>
        <v>1.25</v>
      </c>
      <c r="W20" s="28">
        <f t="shared" si="8"/>
        <v>1.25</v>
      </c>
      <c r="X20" s="28">
        <f t="shared" si="8"/>
        <v>1</v>
      </c>
      <c r="Y20" s="28">
        <f t="shared" si="8"/>
        <v>1.25</v>
      </c>
      <c r="Z20" s="28">
        <f t="shared" si="8"/>
        <v>1.25</v>
      </c>
      <c r="AA20" s="28">
        <f t="shared" si="8"/>
        <v>1</v>
      </c>
      <c r="AB20" s="28">
        <f t="shared" si="8"/>
        <v>1.25</v>
      </c>
      <c r="AC20" s="30">
        <f t="shared" si="8"/>
        <v>1</v>
      </c>
      <c r="AD20" s="30">
        <f t="shared" si="8"/>
        <v>1</v>
      </c>
    </row>
    <row r="21" spans="14:30" ht="15.75" thickBot="1" x14ac:dyDescent="0.3">
      <c r="Q21" s="21">
        <f t="shared" si="5"/>
        <v>1.5</v>
      </c>
      <c r="R21" s="5" t="str">
        <f t="shared" si="6"/>
        <v>PFCE</v>
      </c>
      <c r="S21" s="30">
        <f t="shared" si="7"/>
        <v>1.5</v>
      </c>
      <c r="T21" s="30">
        <f t="shared" si="4"/>
        <v>1.5</v>
      </c>
      <c r="U21" s="30">
        <f t="shared" si="8"/>
        <v>0.75</v>
      </c>
      <c r="V21" s="30">
        <f t="shared" si="8"/>
        <v>1.2000000000000002</v>
      </c>
      <c r="W21" s="30">
        <f t="shared" si="8"/>
        <v>1.5</v>
      </c>
      <c r="X21" s="30">
        <f t="shared" si="8"/>
        <v>0.75</v>
      </c>
      <c r="Y21" s="30">
        <f t="shared" si="8"/>
        <v>1.2000000000000002</v>
      </c>
      <c r="Z21" s="30">
        <f t="shared" si="8"/>
        <v>1.5</v>
      </c>
      <c r="AA21" s="30">
        <f t="shared" si="8"/>
        <v>0.75</v>
      </c>
      <c r="AB21" s="30">
        <f t="shared" si="8"/>
        <v>1.2000000000000002</v>
      </c>
      <c r="AC21" s="30">
        <f t="shared" si="8"/>
        <v>1.5</v>
      </c>
      <c r="AD21" s="30">
        <f t="shared" si="8"/>
        <v>1.5</v>
      </c>
    </row>
    <row r="22" spans="14:30" ht="15.75" thickBot="1" x14ac:dyDescent="0.3">
      <c r="Q22" s="21">
        <f t="shared" si="5"/>
        <v>10</v>
      </c>
      <c r="R22" s="5" t="str">
        <f t="shared" si="6"/>
        <v>PWCA</v>
      </c>
      <c r="S22" s="30">
        <f t="shared" si="7"/>
        <v>10</v>
      </c>
      <c r="T22" s="30">
        <f t="shared" si="4"/>
        <v>10</v>
      </c>
      <c r="U22" s="30">
        <f t="shared" si="8"/>
        <v>15</v>
      </c>
      <c r="V22" s="30">
        <f t="shared" si="8"/>
        <v>12.5</v>
      </c>
      <c r="W22" s="30">
        <f t="shared" si="8"/>
        <v>10</v>
      </c>
      <c r="X22" s="30">
        <f t="shared" si="8"/>
        <v>15</v>
      </c>
      <c r="Y22" s="30">
        <f t="shared" si="8"/>
        <v>12.5</v>
      </c>
      <c r="Z22" s="30">
        <f t="shared" si="8"/>
        <v>10</v>
      </c>
      <c r="AA22" s="30">
        <f t="shared" si="8"/>
        <v>15</v>
      </c>
      <c r="AB22" s="30">
        <f t="shared" si="8"/>
        <v>12.5</v>
      </c>
      <c r="AC22" s="30">
        <f t="shared" si="8"/>
        <v>10</v>
      </c>
      <c r="AD22" s="30">
        <f t="shared" si="8"/>
        <v>10</v>
      </c>
    </row>
    <row r="23" spans="14:30" ht="15.75" thickBot="1" x14ac:dyDescent="0.3">
      <c r="N23" s="25"/>
      <c r="O23" s="21"/>
      <c r="Q23" s="21">
        <f t="shared" si="5"/>
        <v>6.75</v>
      </c>
      <c r="R23" s="5" t="str">
        <f t="shared" si="6"/>
        <v>PWD</v>
      </c>
      <c r="S23" s="30">
        <f t="shared" si="7"/>
        <v>6.75</v>
      </c>
      <c r="T23" s="30">
        <f t="shared" si="4"/>
        <v>6.75</v>
      </c>
      <c r="U23" s="30">
        <f t="shared" si="8"/>
        <v>3.375</v>
      </c>
      <c r="V23" s="30">
        <f t="shared" si="8"/>
        <v>5.4</v>
      </c>
      <c r="W23" s="30">
        <f t="shared" si="8"/>
        <v>6.75</v>
      </c>
      <c r="X23" s="30">
        <f t="shared" si="8"/>
        <v>3.375</v>
      </c>
      <c r="Y23" s="30">
        <f t="shared" si="8"/>
        <v>5.4</v>
      </c>
      <c r="Z23" s="30">
        <f t="shared" si="8"/>
        <v>6.75</v>
      </c>
      <c r="AA23" s="30">
        <f t="shared" si="8"/>
        <v>3.375</v>
      </c>
      <c r="AB23" s="30">
        <f t="shared" si="8"/>
        <v>5.4</v>
      </c>
      <c r="AC23" s="30">
        <f t="shared" si="8"/>
        <v>6.75</v>
      </c>
      <c r="AD23" s="30">
        <f t="shared" si="8"/>
        <v>6.75</v>
      </c>
    </row>
    <row r="24" spans="14:30" ht="15.75" thickBot="1" x14ac:dyDescent="0.3">
      <c r="N24" s="25"/>
      <c r="O24" s="21"/>
      <c r="Q24" s="21">
        <f t="shared" si="5"/>
        <v>59</v>
      </c>
      <c r="R24" s="5" t="str">
        <f t="shared" si="6"/>
        <v>PMW</v>
      </c>
      <c r="S24" s="30">
        <f t="shared" si="7"/>
        <v>59</v>
      </c>
      <c r="T24" s="30">
        <f t="shared" si="4"/>
        <v>59</v>
      </c>
      <c r="U24" s="30">
        <f t="shared" si="8"/>
        <v>50.15</v>
      </c>
      <c r="V24" s="30">
        <f t="shared" si="8"/>
        <v>53.1</v>
      </c>
      <c r="W24" s="30">
        <f t="shared" si="8"/>
        <v>59</v>
      </c>
      <c r="X24" s="30">
        <f t="shared" si="8"/>
        <v>50.15</v>
      </c>
      <c r="Y24" s="30">
        <f t="shared" si="8"/>
        <v>53.1</v>
      </c>
      <c r="Z24" s="30">
        <f t="shared" si="8"/>
        <v>59</v>
      </c>
      <c r="AA24" s="30">
        <f t="shared" si="8"/>
        <v>50.15</v>
      </c>
      <c r="AB24" s="30">
        <f t="shared" si="8"/>
        <v>53.1</v>
      </c>
      <c r="AC24" s="30">
        <f t="shared" si="8"/>
        <v>59</v>
      </c>
      <c r="AD24" s="30">
        <f t="shared" si="8"/>
        <v>59</v>
      </c>
    </row>
    <row r="25" spans="14:30" ht="15.75" thickBot="1" x14ac:dyDescent="0.3">
      <c r="Q25" s="30">
        <f t="shared" si="5"/>
        <v>0.5</v>
      </c>
      <c r="R25" s="5" t="str">
        <f t="shared" si="6"/>
        <v>Nor</v>
      </c>
      <c r="S25" s="30">
        <f t="shared" si="7"/>
        <v>0.5</v>
      </c>
      <c r="T25" s="30">
        <f t="shared" si="4"/>
        <v>0.5</v>
      </c>
      <c r="U25" s="30">
        <f t="shared" si="8"/>
        <v>0.5</v>
      </c>
      <c r="V25" s="30">
        <f t="shared" si="8"/>
        <v>0.5</v>
      </c>
      <c r="W25" s="30">
        <f t="shared" si="8"/>
        <v>1</v>
      </c>
      <c r="X25" s="30">
        <f t="shared" si="8"/>
        <v>1</v>
      </c>
      <c r="Y25" s="30">
        <f t="shared" si="8"/>
        <v>1</v>
      </c>
      <c r="Z25" s="30">
        <f t="shared" si="8"/>
        <v>-0.5</v>
      </c>
      <c r="AA25" s="30">
        <f t="shared" si="8"/>
        <v>-0.5</v>
      </c>
      <c r="AB25" s="30">
        <f t="shared" si="8"/>
        <v>-0.5</v>
      </c>
      <c r="AC25" s="30">
        <f t="shared" si="8"/>
        <v>-0.5</v>
      </c>
      <c r="AD25" s="30">
        <f t="shared" si="8"/>
        <v>1</v>
      </c>
    </row>
    <row r="26" spans="14:30" ht="15.75" thickBot="1" x14ac:dyDescent="0.3">
      <c r="Q26" s="36" t="s">
        <v>25</v>
      </c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</row>
    <row r="27" spans="14:30" ht="45.75" thickBot="1" x14ac:dyDescent="0.3">
      <c r="Q27" s="8" t="s">
        <v>11</v>
      </c>
      <c r="R27" s="8" t="s">
        <v>22</v>
      </c>
      <c r="S27" s="7" t="s">
        <v>10</v>
      </c>
      <c r="T27" s="7" t="s">
        <v>50</v>
      </c>
      <c r="U27" s="7" t="s">
        <v>51</v>
      </c>
      <c r="V27" s="7" t="s">
        <v>52</v>
      </c>
      <c r="W27" s="7" t="s">
        <v>53</v>
      </c>
      <c r="X27" s="7" t="s">
        <v>54</v>
      </c>
      <c r="Y27" s="7" t="s">
        <v>55</v>
      </c>
      <c r="Z27" s="7" t="s">
        <v>56</v>
      </c>
      <c r="AA27" s="7" t="s">
        <v>57</v>
      </c>
      <c r="AB27" s="7" t="s">
        <v>58</v>
      </c>
      <c r="AC27" s="34" t="s">
        <v>59</v>
      </c>
      <c r="AD27" s="34" t="s">
        <v>60</v>
      </c>
    </row>
    <row r="28" spans="14:30" ht="15.75" thickBot="1" x14ac:dyDescent="0.3">
      <c r="Q28" s="5">
        <v>10</v>
      </c>
      <c r="R28" s="5" t="s">
        <v>4</v>
      </c>
      <c r="S28" s="16">
        <v>1</v>
      </c>
      <c r="T28" s="16">
        <v>2</v>
      </c>
      <c r="U28" s="16">
        <v>1</v>
      </c>
      <c r="V28" s="16">
        <v>2</v>
      </c>
      <c r="W28" s="16">
        <v>2</v>
      </c>
      <c r="X28" s="16">
        <v>1</v>
      </c>
      <c r="Y28" s="16">
        <v>2</v>
      </c>
      <c r="Z28" s="16">
        <v>2</v>
      </c>
      <c r="AA28" s="16">
        <v>1</v>
      </c>
      <c r="AB28" s="16">
        <v>2</v>
      </c>
      <c r="AC28" s="16">
        <v>1</v>
      </c>
      <c r="AD28" s="16">
        <v>1</v>
      </c>
    </row>
    <row r="29" spans="14:30" ht="15.75" thickBot="1" x14ac:dyDescent="0.3">
      <c r="Q29" s="5">
        <v>5</v>
      </c>
      <c r="R29" s="5" t="s">
        <v>3</v>
      </c>
      <c r="S29" s="16">
        <v>1</v>
      </c>
      <c r="T29" s="16">
        <v>2</v>
      </c>
      <c r="U29" s="16">
        <v>1</v>
      </c>
      <c r="V29" s="16">
        <v>2</v>
      </c>
      <c r="W29" s="16">
        <v>2</v>
      </c>
      <c r="X29" s="16">
        <v>1</v>
      </c>
      <c r="Y29" s="16">
        <v>2</v>
      </c>
      <c r="Z29" s="16">
        <v>2</v>
      </c>
      <c r="AA29" s="16">
        <v>1</v>
      </c>
      <c r="AB29" s="16">
        <v>2</v>
      </c>
      <c r="AC29" s="16">
        <v>1</v>
      </c>
      <c r="AD29" s="16">
        <v>1</v>
      </c>
    </row>
    <row r="30" spans="14:30" ht="15.75" thickBot="1" x14ac:dyDescent="0.3">
      <c r="Q30" s="5">
        <v>5</v>
      </c>
      <c r="R30" s="5" t="s">
        <v>48</v>
      </c>
      <c r="S30" s="16">
        <v>1</v>
      </c>
      <c r="T30" s="16">
        <v>0.5</v>
      </c>
      <c r="U30" s="16">
        <v>1</v>
      </c>
      <c r="V30" s="16">
        <v>0.75</v>
      </c>
      <c r="W30" s="16">
        <v>0.5</v>
      </c>
      <c r="X30" s="16">
        <v>1</v>
      </c>
      <c r="Y30" s="16">
        <v>0.75</v>
      </c>
      <c r="Z30" s="16">
        <v>0.5</v>
      </c>
      <c r="AA30" s="16">
        <v>1</v>
      </c>
      <c r="AB30" s="16">
        <v>0.75</v>
      </c>
      <c r="AC30" s="16">
        <v>1</v>
      </c>
      <c r="AD30" s="16">
        <v>1</v>
      </c>
    </row>
    <row r="31" spans="14:30" ht="15.75" thickBot="1" x14ac:dyDescent="0.3">
      <c r="Q31" s="5">
        <v>520</v>
      </c>
      <c r="R31" s="5" t="s">
        <v>2</v>
      </c>
      <c r="S31" s="16">
        <v>1</v>
      </c>
      <c r="T31" s="16">
        <v>0.8</v>
      </c>
      <c r="U31" s="16">
        <v>1</v>
      </c>
      <c r="V31" s="16">
        <v>0.75</v>
      </c>
      <c r="W31" s="16">
        <v>0.8</v>
      </c>
      <c r="X31" s="16">
        <v>1</v>
      </c>
      <c r="Y31" s="16">
        <v>0.75</v>
      </c>
      <c r="Z31" s="16">
        <v>0.8</v>
      </c>
      <c r="AA31" s="16">
        <v>1</v>
      </c>
      <c r="AB31" s="16">
        <v>0.75</v>
      </c>
      <c r="AC31" s="16">
        <v>1</v>
      </c>
      <c r="AD31" s="16">
        <v>1</v>
      </c>
    </row>
    <row r="32" spans="14:30" ht="15.75" thickBot="1" x14ac:dyDescent="0.3">
      <c r="Q32" s="26">
        <v>1</v>
      </c>
      <c r="R32" s="5" t="s">
        <v>49</v>
      </c>
      <c r="S32" s="27">
        <v>1</v>
      </c>
      <c r="T32" s="27">
        <v>1</v>
      </c>
      <c r="U32" s="27">
        <v>1.25</v>
      </c>
      <c r="V32" s="27">
        <v>1.1000000000000001</v>
      </c>
      <c r="W32" s="27">
        <v>1</v>
      </c>
      <c r="X32" s="27">
        <v>1.25</v>
      </c>
      <c r="Y32" s="27">
        <v>1.1000000000000001</v>
      </c>
      <c r="Z32" s="27">
        <v>1</v>
      </c>
      <c r="AA32" s="27">
        <v>1.25</v>
      </c>
      <c r="AB32" s="27">
        <v>1.1000000000000001</v>
      </c>
      <c r="AC32" s="27">
        <v>1</v>
      </c>
      <c r="AD32" s="27">
        <v>1</v>
      </c>
    </row>
    <row r="33" spans="17:30" ht="15.75" thickBot="1" x14ac:dyDescent="0.3">
      <c r="Q33" s="5">
        <v>20</v>
      </c>
      <c r="R33" s="5" t="s">
        <v>1</v>
      </c>
      <c r="S33" s="16">
        <v>1</v>
      </c>
      <c r="T33" s="16">
        <v>1.2</v>
      </c>
      <c r="U33" s="16">
        <v>0.8</v>
      </c>
      <c r="V33" s="16">
        <v>1</v>
      </c>
      <c r="W33" s="16">
        <v>1.2</v>
      </c>
      <c r="X33" s="16">
        <v>0.8</v>
      </c>
      <c r="Y33" s="16">
        <v>1</v>
      </c>
      <c r="Z33" s="16">
        <v>1.2</v>
      </c>
      <c r="AA33" s="16">
        <v>0.8</v>
      </c>
      <c r="AB33" s="16">
        <v>1</v>
      </c>
      <c r="AC33" s="27">
        <v>1</v>
      </c>
      <c r="AD33" s="27">
        <v>1</v>
      </c>
    </row>
    <row r="34" spans="17:30" ht="15.75" thickBot="1" x14ac:dyDescent="0.3">
      <c r="Q34" s="5">
        <v>1</v>
      </c>
      <c r="R34" s="26" t="s">
        <v>47</v>
      </c>
      <c r="S34" s="27">
        <v>1</v>
      </c>
      <c r="T34" s="27">
        <v>1.25</v>
      </c>
      <c r="U34" s="27">
        <v>1</v>
      </c>
      <c r="V34" s="27">
        <v>1.25</v>
      </c>
      <c r="W34" s="27">
        <v>1.25</v>
      </c>
      <c r="X34" s="27">
        <v>1</v>
      </c>
      <c r="Y34" s="27">
        <v>1.25</v>
      </c>
      <c r="Z34" s="27">
        <v>1.25</v>
      </c>
      <c r="AA34" s="27">
        <v>1</v>
      </c>
      <c r="AB34" s="27">
        <v>1.25</v>
      </c>
      <c r="AC34" s="27">
        <v>1</v>
      </c>
      <c r="AD34" s="27">
        <v>1</v>
      </c>
    </row>
    <row r="35" spans="17:30" ht="15.75" thickBot="1" x14ac:dyDescent="0.3">
      <c r="Q35" s="5">
        <v>1.5</v>
      </c>
      <c r="R35" s="26" t="s">
        <v>46</v>
      </c>
      <c r="S35" s="27">
        <v>1</v>
      </c>
      <c r="T35" s="27">
        <v>1</v>
      </c>
      <c r="U35" s="27">
        <v>0.5</v>
      </c>
      <c r="V35" s="27">
        <v>0.8</v>
      </c>
      <c r="W35" s="27">
        <v>1</v>
      </c>
      <c r="X35" s="27">
        <v>0.5</v>
      </c>
      <c r="Y35" s="27">
        <v>0.8</v>
      </c>
      <c r="Z35" s="27">
        <v>1</v>
      </c>
      <c r="AA35" s="27">
        <v>0.5</v>
      </c>
      <c r="AB35" s="27">
        <v>0.8</v>
      </c>
      <c r="AC35" s="27">
        <v>1</v>
      </c>
      <c r="AD35" s="27">
        <v>1</v>
      </c>
    </row>
    <row r="36" spans="17:30" ht="15.75" thickBot="1" x14ac:dyDescent="0.3">
      <c r="Q36" s="5">
        <v>10</v>
      </c>
      <c r="R36" s="26" t="s">
        <v>45</v>
      </c>
      <c r="S36" s="27">
        <v>1</v>
      </c>
      <c r="T36" s="27">
        <v>1</v>
      </c>
      <c r="U36" s="27">
        <v>1.5</v>
      </c>
      <c r="V36" s="27">
        <v>1.25</v>
      </c>
      <c r="W36" s="27">
        <v>1</v>
      </c>
      <c r="X36" s="27">
        <v>1.5</v>
      </c>
      <c r="Y36" s="27">
        <v>1.25</v>
      </c>
      <c r="Z36" s="27">
        <v>1</v>
      </c>
      <c r="AA36" s="27">
        <v>1.5</v>
      </c>
      <c r="AB36" s="27">
        <v>1.25</v>
      </c>
      <c r="AC36" s="16">
        <v>1</v>
      </c>
      <c r="AD36" s="16">
        <v>1</v>
      </c>
    </row>
    <row r="37" spans="17:30" ht="15.75" thickBot="1" x14ac:dyDescent="0.3">
      <c r="Q37" s="5">
        <v>6.75</v>
      </c>
      <c r="R37" s="26" t="s">
        <v>44</v>
      </c>
      <c r="S37" s="27">
        <v>1</v>
      </c>
      <c r="T37" s="27">
        <v>1</v>
      </c>
      <c r="U37" s="27">
        <v>0.5</v>
      </c>
      <c r="V37" s="27">
        <v>0.8</v>
      </c>
      <c r="W37" s="27">
        <v>1</v>
      </c>
      <c r="X37" s="27">
        <v>0.5</v>
      </c>
      <c r="Y37" s="27">
        <v>0.8</v>
      </c>
      <c r="Z37" s="27">
        <v>1</v>
      </c>
      <c r="AA37" s="27">
        <v>0.5</v>
      </c>
      <c r="AB37" s="27">
        <v>0.8</v>
      </c>
      <c r="AC37" s="16">
        <v>1</v>
      </c>
      <c r="AD37" s="16">
        <v>1</v>
      </c>
    </row>
    <row r="38" spans="17:30" ht="15.75" thickBot="1" x14ac:dyDescent="0.3">
      <c r="Q38" s="5">
        <v>59</v>
      </c>
      <c r="R38" s="5" t="s">
        <v>0</v>
      </c>
      <c r="S38" s="16">
        <v>1</v>
      </c>
      <c r="T38" s="16">
        <v>1</v>
      </c>
      <c r="U38" s="16">
        <v>0.85</v>
      </c>
      <c r="V38" s="16">
        <v>0.9</v>
      </c>
      <c r="W38" s="16">
        <v>1</v>
      </c>
      <c r="X38" s="16">
        <v>0.85</v>
      </c>
      <c r="Y38" s="16">
        <v>0.9</v>
      </c>
      <c r="Z38" s="16">
        <v>1</v>
      </c>
      <c r="AA38" s="16">
        <v>0.85</v>
      </c>
      <c r="AB38" s="16">
        <v>0.9</v>
      </c>
      <c r="AC38" s="16">
        <v>1</v>
      </c>
      <c r="AD38" s="16">
        <v>1</v>
      </c>
    </row>
    <row r="39" spans="17:30" ht="15.75" thickBot="1" x14ac:dyDescent="0.3">
      <c r="Q39" s="5">
        <v>0.5</v>
      </c>
      <c r="R39" s="5" t="s">
        <v>37</v>
      </c>
      <c r="S39" s="16">
        <v>1</v>
      </c>
      <c r="T39" s="16">
        <v>1</v>
      </c>
      <c r="U39" s="16">
        <v>1</v>
      </c>
      <c r="V39" s="16">
        <v>1</v>
      </c>
      <c r="W39" s="16">
        <v>2</v>
      </c>
      <c r="X39" s="16">
        <v>2</v>
      </c>
      <c r="Y39" s="16">
        <v>2</v>
      </c>
      <c r="Z39" s="16">
        <v>-1</v>
      </c>
      <c r="AA39" s="16">
        <v>-1</v>
      </c>
      <c r="AB39" s="16">
        <v>-1</v>
      </c>
      <c r="AC39" s="16">
        <v>-1</v>
      </c>
      <c r="AD39" s="16">
        <v>2</v>
      </c>
    </row>
    <row r="42" spans="17:30" x14ac:dyDescent="0.25">
      <c r="Q42" t="s">
        <v>11</v>
      </c>
      <c r="R42" t="s">
        <v>22</v>
      </c>
      <c r="S42" t="s">
        <v>10</v>
      </c>
      <c r="T42" t="s">
        <v>9</v>
      </c>
      <c r="U42" t="s">
        <v>8</v>
      </c>
      <c r="V42" t="s">
        <v>41</v>
      </c>
      <c r="W42" t="s">
        <v>31</v>
      </c>
      <c r="X42" t="s">
        <v>28</v>
      </c>
      <c r="Y42" t="s">
        <v>42</v>
      </c>
      <c r="Z42" t="s">
        <v>29</v>
      </c>
      <c r="AA42" t="s">
        <v>30</v>
      </c>
      <c r="AB42" t="s">
        <v>43</v>
      </c>
    </row>
    <row r="43" spans="17:30" x14ac:dyDescent="0.25">
      <c r="Q43">
        <v>10</v>
      </c>
      <c r="R43" t="s">
        <v>4</v>
      </c>
      <c r="S43">
        <v>1</v>
      </c>
      <c r="T43">
        <v>2</v>
      </c>
      <c r="U43">
        <v>1</v>
      </c>
      <c r="V43">
        <v>2.5</v>
      </c>
      <c r="W43">
        <v>2</v>
      </c>
      <c r="X43">
        <v>1</v>
      </c>
      <c r="Y43">
        <v>2.5</v>
      </c>
      <c r="Z43">
        <v>2</v>
      </c>
      <c r="AA43">
        <v>1</v>
      </c>
      <c r="AB43">
        <v>2.5</v>
      </c>
    </row>
    <row r="44" spans="17:30" x14ac:dyDescent="0.25">
      <c r="Q44">
        <v>5</v>
      </c>
      <c r="R44" t="s">
        <v>3</v>
      </c>
      <c r="S44">
        <v>1</v>
      </c>
      <c r="T44">
        <v>2</v>
      </c>
      <c r="U44">
        <v>1</v>
      </c>
      <c r="V44">
        <v>2.5</v>
      </c>
      <c r="W44">
        <v>2</v>
      </c>
      <c r="X44">
        <v>1</v>
      </c>
      <c r="Y44">
        <v>2.5</v>
      </c>
      <c r="Z44">
        <v>2</v>
      </c>
      <c r="AA44">
        <v>1</v>
      </c>
      <c r="AB44">
        <v>2.5</v>
      </c>
    </row>
    <row r="45" spans="17:30" x14ac:dyDescent="0.25">
      <c r="Q45">
        <v>5</v>
      </c>
      <c r="R45" t="s">
        <v>48</v>
      </c>
      <c r="S45">
        <v>1</v>
      </c>
      <c r="T45">
        <v>0.5</v>
      </c>
      <c r="U45">
        <v>1</v>
      </c>
      <c r="V45">
        <v>0.75</v>
      </c>
      <c r="W45">
        <v>0.5</v>
      </c>
      <c r="X45">
        <v>1</v>
      </c>
      <c r="Y45">
        <v>0.75</v>
      </c>
      <c r="Z45">
        <v>0.5</v>
      </c>
      <c r="AA45">
        <v>1</v>
      </c>
      <c r="AB45">
        <v>0.75</v>
      </c>
    </row>
    <row r="46" spans="17:30" x14ac:dyDescent="0.25">
      <c r="Q46">
        <v>520</v>
      </c>
      <c r="R46" t="s">
        <v>2</v>
      </c>
      <c r="S46">
        <v>1</v>
      </c>
      <c r="T46">
        <v>0.8</v>
      </c>
      <c r="U46">
        <v>1</v>
      </c>
      <c r="V46">
        <v>0.75</v>
      </c>
      <c r="W46">
        <v>0.8</v>
      </c>
      <c r="X46">
        <v>1</v>
      </c>
      <c r="Y46">
        <v>0.75</v>
      </c>
      <c r="Z46">
        <v>0.8</v>
      </c>
      <c r="AA46">
        <v>1</v>
      </c>
      <c r="AB46">
        <v>0.75</v>
      </c>
    </row>
    <row r="47" spans="17:30" x14ac:dyDescent="0.25">
      <c r="Q47">
        <v>1</v>
      </c>
      <c r="R47" t="s">
        <v>49</v>
      </c>
      <c r="S47">
        <v>1</v>
      </c>
      <c r="T47">
        <v>1</v>
      </c>
      <c r="U47">
        <v>1.25</v>
      </c>
      <c r="V47">
        <v>1.1000000000000001</v>
      </c>
      <c r="W47">
        <v>1</v>
      </c>
      <c r="X47">
        <v>1.25</v>
      </c>
      <c r="Y47">
        <v>1.1000000000000001</v>
      </c>
      <c r="Z47">
        <v>1</v>
      </c>
      <c r="AA47">
        <v>1.25</v>
      </c>
      <c r="AB47">
        <v>1.1000000000000001</v>
      </c>
    </row>
    <row r="48" spans="17:30" x14ac:dyDescent="0.25">
      <c r="Q48">
        <v>20</v>
      </c>
      <c r="R48" t="s">
        <v>1</v>
      </c>
      <c r="S48">
        <v>1</v>
      </c>
      <c r="T48">
        <v>1.25</v>
      </c>
      <c r="U48">
        <v>0.8</v>
      </c>
      <c r="V48">
        <v>1.4</v>
      </c>
      <c r="W48">
        <v>1.25</v>
      </c>
      <c r="X48">
        <v>0.8</v>
      </c>
      <c r="Y48">
        <v>1.4</v>
      </c>
      <c r="Z48">
        <v>1.25</v>
      </c>
      <c r="AA48">
        <v>0.8</v>
      </c>
      <c r="AB48">
        <v>1.4</v>
      </c>
    </row>
    <row r="49" spans="17:28" x14ac:dyDescent="0.25">
      <c r="Q49">
        <v>1</v>
      </c>
      <c r="R49" t="s">
        <v>47</v>
      </c>
      <c r="S49">
        <v>1</v>
      </c>
      <c r="T49">
        <v>1.25</v>
      </c>
      <c r="U49">
        <v>1</v>
      </c>
      <c r="V49">
        <v>1.25</v>
      </c>
      <c r="W49">
        <v>1.25</v>
      </c>
      <c r="X49">
        <v>1</v>
      </c>
      <c r="Y49">
        <v>1.25</v>
      </c>
      <c r="Z49">
        <v>1.25</v>
      </c>
      <c r="AA49">
        <v>1</v>
      </c>
      <c r="AB49">
        <v>1.25</v>
      </c>
    </row>
    <row r="50" spans="17:28" x14ac:dyDescent="0.25">
      <c r="Q50">
        <v>1.5</v>
      </c>
      <c r="R50" t="s">
        <v>46</v>
      </c>
      <c r="S50">
        <v>1</v>
      </c>
      <c r="T50">
        <v>1</v>
      </c>
      <c r="U50">
        <v>0.5</v>
      </c>
      <c r="V50">
        <v>0.8</v>
      </c>
      <c r="W50">
        <v>1</v>
      </c>
      <c r="X50">
        <v>0.5</v>
      </c>
      <c r="Y50">
        <v>0.8</v>
      </c>
      <c r="Z50">
        <v>1</v>
      </c>
      <c r="AA50">
        <v>0.5</v>
      </c>
      <c r="AB50">
        <v>0.8</v>
      </c>
    </row>
    <row r="51" spans="17:28" x14ac:dyDescent="0.25">
      <c r="Q51">
        <v>10</v>
      </c>
      <c r="R51" t="s">
        <v>45</v>
      </c>
      <c r="S51">
        <v>1</v>
      </c>
      <c r="T51">
        <v>1</v>
      </c>
      <c r="U51">
        <v>1.5</v>
      </c>
      <c r="V51">
        <v>1.25</v>
      </c>
      <c r="W51">
        <v>1</v>
      </c>
      <c r="X51">
        <v>1.5</v>
      </c>
      <c r="Y51">
        <v>1.25</v>
      </c>
      <c r="Z51">
        <v>1</v>
      </c>
      <c r="AA51">
        <v>1.5</v>
      </c>
      <c r="AB51">
        <v>1.25</v>
      </c>
    </row>
    <row r="52" spans="17:28" x14ac:dyDescent="0.25">
      <c r="Q52">
        <v>6.75</v>
      </c>
      <c r="R52" t="s">
        <v>44</v>
      </c>
      <c r="S52">
        <v>1</v>
      </c>
      <c r="T52">
        <v>1</v>
      </c>
      <c r="U52">
        <v>0.5</v>
      </c>
      <c r="V52">
        <v>0.8</v>
      </c>
      <c r="W52">
        <v>1</v>
      </c>
      <c r="X52">
        <v>0.5</v>
      </c>
      <c r="Y52">
        <v>0.8</v>
      </c>
      <c r="Z52">
        <v>1</v>
      </c>
      <c r="AA52">
        <v>0.5</v>
      </c>
      <c r="AB52">
        <v>0.8</v>
      </c>
    </row>
    <row r="53" spans="17:28" x14ac:dyDescent="0.25">
      <c r="Q53">
        <v>59</v>
      </c>
      <c r="R53" t="s">
        <v>0</v>
      </c>
      <c r="S53">
        <v>1</v>
      </c>
      <c r="T53">
        <v>1</v>
      </c>
      <c r="U53">
        <v>0.85</v>
      </c>
      <c r="V53">
        <v>0.9</v>
      </c>
      <c r="W53">
        <v>1</v>
      </c>
      <c r="X53">
        <v>0.85</v>
      </c>
      <c r="Y53">
        <v>0.9</v>
      </c>
      <c r="Z53">
        <v>1</v>
      </c>
      <c r="AA53">
        <v>0.85</v>
      </c>
      <c r="AB53">
        <v>0.9</v>
      </c>
    </row>
    <row r="54" spans="17:28" x14ac:dyDescent="0.25">
      <c r="Q54">
        <v>0.5</v>
      </c>
      <c r="R54" t="s">
        <v>37</v>
      </c>
      <c r="S54">
        <v>1</v>
      </c>
      <c r="T54">
        <v>1</v>
      </c>
      <c r="U54">
        <v>1</v>
      </c>
      <c r="V54">
        <v>1</v>
      </c>
      <c r="W54">
        <v>2</v>
      </c>
      <c r="X54">
        <v>2</v>
      </c>
      <c r="Y54">
        <v>2</v>
      </c>
      <c r="Z54">
        <v>-1</v>
      </c>
      <c r="AA54">
        <v>-1</v>
      </c>
      <c r="AB54">
        <v>-1</v>
      </c>
    </row>
  </sheetData>
  <mergeCells count="3">
    <mergeCell ref="A3:A7"/>
    <mergeCell ref="Q26:AB26"/>
    <mergeCell ref="Q12:AB12"/>
  </mergeCells>
  <conditionalFormatting sqref="S28:AB39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39:AD39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E9996-7D7B-4BBF-B93D-866C873E60EE}">
  <dimension ref="A1:E20"/>
  <sheetViews>
    <sheetView zoomScaleNormal="100" workbookViewId="0"/>
  </sheetViews>
  <sheetFormatPr baseColWidth="10" defaultColWidth="9.140625" defaultRowHeight="15" x14ac:dyDescent="0.25"/>
  <cols>
    <col min="1" max="1" width="9.140625" customWidth="1"/>
    <col min="2" max="2" width="7.85546875" bestFit="1" customWidth="1"/>
    <col min="3" max="3" width="9.5703125" bestFit="1" customWidth="1"/>
    <col min="4" max="4" width="7.85546875" bestFit="1" customWidth="1"/>
    <col min="5" max="5" width="9.5703125" bestFit="1" customWidth="1"/>
  </cols>
  <sheetData>
    <row r="1" spans="1:5" x14ac:dyDescent="0.25">
      <c r="A1" s="17" t="s">
        <v>27</v>
      </c>
      <c r="B1" s="18" t="s">
        <v>10</v>
      </c>
      <c r="C1" s="18" t="s">
        <v>50</v>
      </c>
      <c r="D1" s="18" t="s">
        <v>51</v>
      </c>
      <c r="E1" s="18" t="s">
        <v>52</v>
      </c>
    </row>
    <row r="2" spans="1:5" x14ac:dyDescent="0.25">
      <c r="A2" s="1" t="s">
        <v>4</v>
      </c>
      <c r="B2" s="19">
        <f>INDEX(Sensibilidad!$S$14:$AB$25,MATCH($A2,Sensibilidad!$R$14:$R$25,0),MATCH(B$1,Sensibilidad!$S$13:$AB$13,0))</f>
        <v>10</v>
      </c>
      <c r="C2" s="19">
        <f>INDEX(Sensibilidad!$S$14:$AB$25,MATCH($A2,Sensibilidad!$R$14:$R$25,0),MATCH(C$1,Sensibilidad!$S$13:$AB$13,0))</f>
        <v>20</v>
      </c>
      <c r="D2" s="19">
        <f>INDEX(Sensibilidad!$S$14:$AB$25,MATCH($A2,Sensibilidad!$R$14:$R$25,0),MATCH(D$1,Sensibilidad!$S$13:$AB$13,0))</f>
        <v>10</v>
      </c>
      <c r="E2" s="19">
        <f>INDEX(Sensibilidad!$S$14:$AB$25,MATCH($A2,Sensibilidad!$R$14:$R$25,0),MATCH(E$1,Sensibilidad!$S$13:$AB$13,0))</f>
        <v>20</v>
      </c>
    </row>
    <row r="3" spans="1:5" x14ac:dyDescent="0.25">
      <c r="A3" s="1" t="s">
        <v>3</v>
      </c>
      <c r="B3" s="19">
        <f>INDEX(Sensibilidad!$S$14:$AB$25,MATCH($A3,Sensibilidad!$R$14:$R$25,0),MATCH(B$1,Sensibilidad!$S$13:$AB$13,0))</f>
        <v>5</v>
      </c>
      <c r="C3" s="19">
        <f>INDEX(Sensibilidad!$S$14:$AB$25,MATCH($A3,Sensibilidad!$R$14:$R$25,0),MATCH(C$1,Sensibilidad!$S$13:$AB$13,0))</f>
        <v>10</v>
      </c>
      <c r="D3" s="19">
        <f>INDEX(Sensibilidad!$S$14:$AB$25,MATCH($A3,Sensibilidad!$R$14:$R$25,0),MATCH(D$1,Sensibilidad!$S$13:$AB$13,0))</f>
        <v>5</v>
      </c>
      <c r="E3" s="19">
        <f>INDEX(Sensibilidad!$S$14:$AB$25,MATCH($A3,Sensibilidad!$R$14:$R$25,0),MATCH(E$1,Sensibilidad!$S$13:$AB$13,0))</f>
        <v>10</v>
      </c>
    </row>
    <row r="4" spans="1:5" x14ac:dyDescent="0.25">
      <c r="A4" s="2" t="s">
        <v>2</v>
      </c>
      <c r="B4" s="19">
        <f>INDEX(Sensibilidad!$S$14:$AB$25,MATCH($A4,Sensibilidad!$R$14:$R$25,0),MATCH(B$1,Sensibilidad!$S$13:$AB$13,0))</f>
        <v>520</v>
      </c>
      <c r="C4" s="19">
        <f>INDEX(Sensibilidad!$S$14:$AB$25,MATCH($A4,Sensibilidad!$R$14:$R$25,0),MATCH(C$1,Sensibilidad!$S$13:$AB$13,0))</f>
        <v>416</v>
      </c>
      <c r="D4" s="19">
        <f>INDEX(Sensibilidad!$S$14:$AB$25,MATCH($A4,Sensibilidad!$R$14:$R$25,0),MATCH(D$1,Sensibilidad!$S$13:$AB$13,0))</f>
        <v>520</v>
      </c>
      <c r="E4" s="19">
        <f>INDEX(Sensibilidad!$S$14:$AB$25,MATCH($A4,Sensibilidad!$R$14:$R$25,0),MATCH(E$1,Sensibilidad!$S$13:$AB$13,0))</f>
        <v>390</v>
      </c>
    </row>
    <row r="5" spans="1:5" x14ac:dyDescent="0.25">
      <c r="A5" s="2" t="s">
        <v>49</v>
      </c>
      <c r="B5" s="19">
        <f>INDEX(Sensibilidad!$S$14:$AB$25,MATCH($A5,Sensibilidad!$R$14:$R$25,0),MATCH(B$1,Sensibilidad!$S$13:$AB$13,0))</f>
        <v>1</v>
      </c>
      <c r="C5" s="19">
        <f>INDEX(Sensibilidad!$S$14:$AB$25,MATCH($A5,Sensibilidad!$R$14:$R$25,0),MATCH(C$1,Sensibilidad!$S$13:$AB$13,0))</f>
        <v>1</v>
      </c>
      <c r="D5" s="19">
        <f>INDEX(Sensibilidad!$S$14:$AB$25,MATCH($A5,Sensibilidad!$R$14:$R$25,0),MATCH(D$1,Sensibilidad!$S$13:$AB$13,0))</f>
        <v>1.25</v>
      </c>
      <c r="E5" s="19">
        <f>INDEX(Sensibilidad!$S$14:$AB$25,MATCH($A5,Sensibilidad!$R$14:$R$25,0),MATCH(E$1,Sensibilidad!$S$13:$AB$13,0))</f>
        <v>1.1000000000000001</v>
      </c>
    </row>
    <row r="6" spans="1:5" x14ac:dyDescent="0.25">
      <c r="A6" s="3" t="s">
        <v>1</v>
      </c>
      <c r="B6" s="19">
        <f>INDEX(Sensibilidad!$S$14:$AB$25,MATCH($A6,Sensibilidad!$R$14:$R$25,0),MATCH(B$1,Sensibilidad!$S$13:$AB$13,0))</f>
        <v>20</v>
      </c>
      <c r="C6" s="19">
        <f>INDEX(Sensibilidad!$S$14:$AB$25,MATCH($A6,Sensibilidad!$R$14:$R$25,0),MATCH(C$1,Sensibilidad!$S$13:$AB$13,0))</f>
        <v>24</v>
      </c>
      <c r="D6" s="19">
        <f>INDEX(Sensibilidad!$S$14:$AB$25,MATCH($A6,Sensibilidad!$R$14:$R$25,0),MATCH(D$1,Sensibilidad!$S$13:$AB$13,0))</f>
        <v>16</v>
      </c>
      <c r="E6" s="19">
        <f>INDEX(Sensibilidad!$S$14:$AB$25,MATCH($A6,Sensibilidad!$R$14:$R$25,0),MATCH(E$1,Sensibilidad!$S$13:$AB$13,0))</f>
        <v>20</v>
      </c>
    </row>
    <row r="7" spans="1:5" x14ac:dyDescent="0.25">
      <c r="A7" s="32" t="s">
        <v>47</v>
      </c>
      <c r="B7" s="19">
        <f>INDEX(Sensibilidad!$S$14:$AB$25,MATCH($A7,Sensibilidad!$R$14:$R$25,0),MATCH(B$1,Sensibilidad!$S$13:$AB$13,0))</f>
        <v>1</v>
      </c>
      <c r="C7" s="19">
        <f>INDEX(Sensibilidad!$S$14:$AB$25,MATCH($A7,Sensibilidad!$R$14:$R$25,0),MATCH(C$1,Sensibilidad!$S$13:$AB$13,0))</f>
        <v>1.25</v>
      </c>
      <c r="D7" s="19">
        <f>INDEX(Sensibilidad!$S$14:$AB$25,MATCH($A7,Sensibilidad!$R$14:$R$25,0),MATCH(D$1,Sensibilidad!$S$13:$AB$13,0))</f>
        <v>1</v>
      </c>
      <c r="E7" s="19">
        <f>INDEX(Sensibilidad!$S$14:$AB$25,MATCH($A7,Sensibilidad!$R$14:$R$25,0),MATCH(E$1,Sensibilidad!$S$13:$AB$13,0))</f>
        <v>1.25</v>
      </c>
    </row>
    <row r="8" spans="1:5" x14ac:dyDescent="0.25">
      <c r="A8" s="4" t="s">
        <v>46</v>
      </c>
      <c r="B8" s="19">
        <f>INDEX(Sensibilidad!$S$14:$AB$25,MATCH($A8,Sensibilidad!$R$14:$R$25,0),MATCH(B$1,Sensibilidad!$S$13:$AB$13,0))</f>
        <v>1.5</v>
      </c>
      <c r="C8" s="19">
        <f>INDEX(Sensibilidad!$S$14:$AB$25,MATCH($A8,Sensibilidad!$R$14:$R$25,0),MATCH(C$1,Sensibilidad!$S$13:$AB$13,0))</f>
        <v>1.5</v>
      </c>
      <c r="D8" s="19">
        <f>INDEX(Sensibilidad!$S$14:$AB$25,MATCH($A8,Sensibilidad!$R$14:$R$25,0),MATCH(D$1,Sensibilidad!$S$13:$AB$13,0))</f>
        <v>0.75</v>
      </c>
      <c r="E8" s="19">
        <f>INDEX(Sensibilidad!$S$14:$AB$25,MATCH($A8,Sensibilidad!$R$14:$R$25,0),MATCH(E$1,Sensibilidad!$S$13:$AB$13,0))</f>
        <v>1.2000000000000002</v>
      </c>
    </row>
    <row r="9" spans="1:5" x14ac:dyDescent="0.25">
      <c r="A9" s="4" t="s">
        <v>45</v>
      </c>
      <c r="B9" s="19">
        <f>INDEX(Sensibilidad!$S$14:$AB$25,MATCH($A9,Sensibilidad!$R$14:$R$25,0),MATCH(B$1,Sensibilidad!$S$13:$AB$13,0))</f>
        <v>10</v>
      </c>
      <c r="C9" s="19">
        <f>INDEX(Sensibilidad!$S$14:$AB$25,MATCH($A9,Sensibilidad!$R$14:$R$25,0),MATCH(C$1,Sensibilidad!$S$13:$AB$13,0))</f>
        <v>10</v>
      </c>
      <c r="D9" s="19">
        <f>INDEX(Sensibilidad!$S$14:$AB$25,MATCH($A9,Sensibilidad!$R$14:$R$25,0),MATCH(D$1,Sensibilidad!$S$13:$AB$13,0))</f>
        <v>15</v>
      </c>
      <c r="E9" s="19">
        <f>INDEX(Sensibilidad!$S$14:$AB$25,MATCH($A9,Sensibilidad!$R$14:$R$25,0),MATCH(E$1,Sensibilidad!$S$13:$AB$13,0))</f>
        <v>12.5</v>
      </c>
    </row>
    <row r="10" spans="1:5" x14ac:dyDescent="0.25">
      <c r="A10" s="4" t="s">
        <v>44</v>
      </c>
      <c r="B10" s="19">
        <f>INDEX(Sensibilidad!$S$14:$AB$25,MATCH($A10,Sensibilidad!$R$14:$R$25,0),MATCH(B$1,Sensibilidad!$S$13:$AB$13,0))</f>
        <v>6.75</v>
      </c>
      <c r="C10" s="19">
        <f>INDEX(Sensibilidad!$S$14:$AB$25,MATCH($A10,Sensibilidad!$R$14:$R$25,0),MATCH(C$1,Sensibilidad!$S$13:$AB$13,0))</f>
        <v>6.75</v>
      </c>
      <c r="D10" s="19">
        <f>INDEX(Sensibilidad!$S$14:$AB$25,MATCH($A10,Sensibilidad!$R$14:$R$25,0),MATCH(D$1,Sensibilidad!$S$13:$AB$13,0))</f>
        <v>3.375</v>
      </c>
      <c r="E10" s="19">
        <f>INDEX(Sensibilidad!$S$14:$AB$25,MATCH($A10,Sensibilidad!$R$14:$R$25,0),MATCH(E$1,Sensibilidad!$S$13:$AB$13,0))</f>
        <v>5.4</v>
      </c>
    </row>
    <row r="11" spans="1:5" x14ac:dyDescent="0.25">
      <c r="A11" s="4" t="s">
        <v>0</v>
      </c>
      <c r="B11" s="19">
        <f>INDEX(Sensibilidad!$S$14:$AB$25,MATCH($A11,Sensibilidad!$R$14:$R$25,0),MATCH(B$1,Sensibilidad!$S$13:$AB$13,0))</f>
        <v>59</v>
      </c>
      <c r="C11" s="19">
        <f>INDEX(Sensibilidad!$S$14:$AB$25,MATCH($A11,Sensibilidad!$R$14:$R$25,0),MATCH(C$1,Sensibilidad!$S$13:$AB$13,0))</f>
        <v>59</v>
      </c>
      <c r="D11" s="19">
        <f>INDEX(Sensibilidad!$S$14:$AB$25,MATCH($A11,Sensibilidad!$R$14:$R$25,0),MATCH(D$1,Sensibilidad!$S$13:$AB$13,0))</f>
        <v>50.15</v>
      </c>
      <c r="E11" s="19">
        <f>INDEX(Sensibilidad!$S$14:$AB$25,MATCH($A11,Sensibilidad!$R$14:$R$25,0),MATCH(E$1,Sensibilidad!$S$13:$AB$13,0))</f>
        <v>53.1</v>
      </c>
    </row>
    <row r="12" spans="1:5" ht="15.75" thickBot="1" x14ac:dyDescent="0.3"/>
    <row r="13" spans="1:5" ht="15.75" thickBot="1" x14ac:dyDescent="0.3">
      <c r="A13" s="5"/>
    </row>
    <row r="14" spans="1:5" ht="15.75" thickBot="1" x14ac:dyDescent="0.3">
      <c r="A14" s="5"/>
    </row>
    <row r="15" spans="1:5" ht="15.75" thickBot="1" x14ac:dyDescent="0.3">
      <c r="A15" s="5"/>
    </row>
    <row r="16" spans="1:5" ht="15.75" thickBot="1" x14ac:dyDescent="0.3">
      <c r="A16" s="5"/>
    </row>
    <row r="17" spans="1:1" x14ac:dyDescent="0.25">
      <c r="A17" s="26"/>
    </row>
    <row r="18" spans="1:1" x14ac:dyDescent="0.25">
      <c r="A18" s="26"/>
    </row>
    <row r="19" spans="1:1" ht="15.75" thickBot="1" x14ac:dyDescent="0.3">
      <c r="A19" s="26"/>
    </row>
    <row r="20" spans="1:1" ht="15.75" thickBot="1" x14ac:dyDescent="0.3">
      <c r="A2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zoomScaleNormal="100" workbookViewId="0"/>
  </sheetViews>
  <sheetFormatPr baseColWidth="10" defaultColWidth="9.140625" defaultRowHeight="15" x14ac:dyDescent="0.25"/>
  <cols>
    <col min="1" max="1" width="9.140625" customWidth="1"/>
    <col min="2" max="2" width="7.85546875" bestFit="1" customWidth="1"/>
    <col min="3" max="3" width="9.5703125" bestFit="1" customWidth="1"/>
    <col min="4" max="4" width="7.85546875" bestFit="1" customWidth="1"/>
  </cols>
  <sheetData>
    <row r="1" spans="1:4" x14ac:dyDescent="0.25">
      <c r="A1" s="17" t="s">
        <v>27</v>
      </c>
      <c r="B1" s="18" t="s">
        <v>10</v>
      </c>
      <c r="C1" s="18" t="s">
        <v>59</v>
      </c>
      <c r="D1" s="18" t="s">
        <v>60</v>
      </c>
    </row>
    <row r="2" spans="1:4" x14ac:dyDescent="0.25">
      <c r="A2" s="1" t="s">
        <v>4</v>
      </c>
      <c r="B2" s="19">
        <f>INDEX(Sensibilidad!$S$14:$AD$25,MATCH($A2,Sensibilidad!$R$14:$R$25,0),MATCH(B$1,Sensibilidad!$S$13:$AD$13,0))</f>
        <v>10</v>
      </c>
      <c r="C2" s="19">
        <f>INDEX(Sensibilidad!$S$14:$AD$25,MATCH($A2,Sensibilidad!$R$14:$R$25,0),MATCH(C$1,Sensibilidad!$S$13:$AD$13,0))</f>
        <v>10</v>
      </c>
      <c r="D2" s="19">
        <f>INDEX(Sensibilidad!$S$14:$AD$25,MATCH($A2,Sensibilidad!$R$14:$R$25,0),MATCH(D$1,Sensibilidad!$S$13:$AD$13,0))</f>
        <v>10</v>
      </c>
    </row>
    <row r="3" spans="1:4" x14ac:dyDescent="0.25">
      <c r="A3" s="1" t="s">
        <v>3</v>
      </c>
      <c r="B3" s="19">
        <f>INDEX(Sensibilidad!$S$14:$AD$25,MATCH($A3,Sensibilidad!$R$14:$R$25,0),MATCH(B$1,Sensibilidad!$S$13:$AD$13,0))</f>
        <v>5</v>
      </c>
      <c r="C3" s="19">
        <f>INDEX(Sensibilidad!$S$14:$AD$25,MATCH($A3,Sensibilidad!$R$14:$R$25,0),MATCH(C$1,Sensibilidad!$S$13:$AD$13,0))</f>
        <v>5</v>
      </c>
      <c r="D3" s="19">
        <f>INDEX(Sensibilidad!$S$14:$AD$25,MATCH($A3,Sensibilidad!$R$14:$R$25,0),MATCH(D$1,Sensibilidad!$S$13:$AD$13,0))</f>
        <v>5</v>
      </c>
    </row>
    <row r="4" spans="1:4" x14ac:dyDescent="0.25">
      <c r="A4" s="2" t="s">
        <v>2</v>
      </c>
      <c r="B4" s="19">
        <f>INDEX(Sensibilidad!$S$14:$AD$25,MATCH($A4,Sensibilidad!$R$14:$R$25,0),MATCH(B$1,Sensibilidad!$S$13:$AD$13,0))</f>
        <v>520</v>
      </c>
      <c r="C4" s="19">
        <f>INDEX(Sensibilidad!$S$14:$AD$25,MATCH($A4,Sensibilidad!$R$14:$R$25,0),MATCH(C$1,Sensibilidad!$S$13:$AD$13,0))</f>
        <v>520</v>
      </c>
      <c r="D4" s="19">
        <f>INDEX(Sensibilidad!$S$14:$AD$25,MATCH($A4,Sensibilidad!$R$14:$R$25,0),MATCH(D$1,Sensibilidad!$S$13:$AD$13,0))</f>
        <v>520</v>
      </c>
    </row>
    <row r="5" spans="1:4" x14ac:dyDescent="0.25">
      <c r="A5" s="2" t="s">
        <v>49</v>
      </c>
      <c r="B5" s="19">
        <f>INDEX(Sensibilidad!$S$14:$AD$25,MATCH($A5,Sensibilidad!$R$14:$R$25,0),MATCH(B$1,Sensibilidad!$S$13:$AD$13,0))</f>
        <v>1</v>
      </c>
      <c r="C5" s="19">
        <f>INDEX(Sensibilidad!$S$14:$AD$25,MATCH($A5,Sensibilidad!$R$14:$R$25,0),MATCH(C$1,Sensibilidad!$S$13:$AD$13,0))</f>
        <v>1</v>
      </c>
      <c r="D5" s="19">
        <f>INDEX(Sensibilidad!$S$14:$AD$25,MATCH($A5,Sensibilidad!$R$14:$R$25,0),MATCH(D$1,Sensibilidad!$S$13:$AD$13,0))</f>
        <v>1</v>
      </c>
    </row>
    <row r="6" spans="1:4" x14ac:dyDescent="0.25">
      <c r="A6" s="3" t="s">
        <v>1</v>
      </c>
      <c r="B6" s="19">
        <f>INDEX(Sensibilidad!$S$14:$AD$25,MATCH($A6,Sensibilidad!$R$14:$R$25,0),MATCH(B$1,Sensibilidad!$S$13:$AD$13,0))</f>
        <v>20</v>
      </c>
      <c r="C6" s="19">
        <f>INDEX(Sensibilidad!$S$14:$AD$25,MATCH($A6,Sensibilidad!$R$14:$R$25,0),MATCH(C$1,Sensibilidad!$S$13:$AD$13,0))</f>
        <v>20</v>
      </c>
      <c r="D6" s="19">
        <f>INDEX(Sensibilidad!$S$14:$AD$25,MATCH($A6,Sensibilidad!$R$14:$R$25,0),MATCH(D$1,Sensibilidad!$S$13:$AD$13,0))</f>
        <v>20</v>
      </c>
    </row>
    <row r="7" spans="1:4" x14ac:dyDescent="0.25">
      <c r="A7" s="32" t="s">
        <v>47</v>
      </c>
      <c r="B7" s="19">
        <f>INDEX(Sensibilidad!$S$14:$AD$25,MATCH($A7,Sensibilidad!$R$14:$R$25,0),MATCH(B$1,Sensibilidad!$S$13:$AD$13,0))</f>
        <v>1</v>
      </c>
      <c r="C7" s="19">
        <f>INDEX(Sensibilidad!$S$14:$AD$25,MATCH($A7,Sensibilidad!$R$14:$R$25,0),MATCH(C$1,Sensibilidad!$S$13:$AD$13,0))</f>
        <v>1</v>
      </c>
      <c r="D7" s="19">
        <f>INDEX(Sensibilidad!$S$14:$AD$25,MATCH($A7,Sensibilidad!$R$14:$R$25,0),MATCH(D$1,Sensibilidad!$S$13:$AD$13,0))</f>
        <v>1</v>
      </c>
    </row>
    <row r="8" spans="1:4" x14ac:dyDescent="0.25">
      <c r="A8" s="4" t="s">
        <v>46</v>
      </c>
      <c r="B8" s="19">
        <f>INDEX(Sensibilidad!$S$14:$AD$25,MATCH($A8,Sensibilidad!$R$14:$R$25,0),MATCH(B$1,Sensibilidad!$S$13:$AD$13,0))</f>
        <v>1.5</v>
      </c>
      <c r="C8" s="19">
        <f>INDEX(Sensibilidad!$S$14:$AD$25,MATCH($A8,Sensibilidad!$R$14:$R$25,0),MATCH(C$1,Sensibilidad!$S$13:$AD$13,0))</f>
        <v>1.5</v>
      </c>
      <c r="D8" s="19">
        <f>INDEX(Sensibilidad!$S$14:$AD$25,MATCH($A8,Sensibilidad!$R$14:$R$25,0),MATCH(D$1,Sensibilidad!$S$13:$AD$13,0))</f>
        <v>1.5</v>
      </c>
    </row>
    <row r="9" spans="1:4" x14ac:dyDescent="0.25">
      <c r="A9" s="4" t="s">
        <v>45</v>
      </c>
      <c r="B9" s="19">
        <f>INDEX(Sensibilidad!$S$14:$AD$25,MATCH($A9,Sensibilidad!$R$14:$R$25,0),MATCH(B$1,Sensibilidad!$S$13:$AD$13,0))</f>
        <v>10</v>
      </c>
      <c r="C9" s="19">
        <f>INDEX(Sensibilidad!$S$14:$AD$25,MATCH($A9,Sensibilidad!$R$14:$R$25,0),MATCH(C$1,Sensibilidad!$S$13:$AD$13,0))</f>
        <v>10</v>
      </c>
      <c r="D9" s="19">
        <f>INDEX(Sensibilidad!$S$14:$AD$25,MATCH($A9,Sensibilidad!$R$14:$R$25,0),MATCH(D$1,Sensibilidad!$S$13:$AD$13,0))</f>
        <v>10</v>
      </c>
    </row>
    <row r="10" spans="1:4" x14ac:dyDescent="0.25">
      <c r="A10" s="4" t="s">
        <v>44</v>
      </c>
      <c r="B10" s="19">
        <f>INDEX(Sensibilidad!$S$14:$AD$25,MATCH($A10,Sensibilidad!$R$14:$R$25,0),MATCH(B$1,Sensibilidad!$S$13:$AD$13,0))</f>
        <v>6.75</v>
      </c>
      <c r="C10" s="19">
        <f>INDEX(Sensibilidad!$S$14:$AD$25,MATCH($A10,Sensibilidad!$R$14:$R$25,0),MATCH(C$1,Sensibilidad!$S$13:$AD$13,0))</f>
        <v>6.75</v>
      </c>
      <c r="D10" s="19">
        <f>INDEX(Sensibilidad!$S$14:$AD$25,MATCH($A10,Sensibilidad!$R$14:$R$25,0),MATCH(D$1,Sensibilidad!$S$13:$AD$13,0))</f>
        <v>6.75</v>
      </c>
    </row>
    <row r="11" spans="1:4" x14ac:dyDescent="0.25">
      <c r="A11" s="4" t="s">
        <v>0</v>
      </c>
      <c r="B11" s="19">
        <f>INDEX(Sensibilidad!$S$14:$AD$25,MATCH($A11,Sensibilidad!$R$14:$R$25,0),MATCH(B$1,Sensibilidad!$S$13:$AD$13,0))</f>
        <v>59</v>
      </c>
      <c r="C11" s="19">
        <f>INDEX(Sensibilidad!$S$14:$AD$25,MATCH($A11,Sensibilidad!$R$14:$R$25,0),MATCH(C$1,Sensibilidad!$S$13:$AD$13,0))</f>
        <v>59</v>
      </c>
      <c r="D11" s="19">
        <f>INDEX(Sensibilidad!$S$14:$AD$25,MATCH($A11,Sensibilidad!$R$14:$R$25,0),MATCH(D$1,Sensibilidad!$S$13:$AD$13,0))</f>
        <v>59</v>
      </c>
    </row>
    <row r="12" spans="1:4" ht="15.75" thickBot="1" x14ac:dyDescent="0.3">
      <c r="A12" s="2" t="s">
        <v>37</v>
      </c>
      <c r="B12" s="19">
        <f>INDEX(Sensibilidad!$S$14:$AD$25,MATCH($A12,Sensibilidad!$R$14:$R$25,0),MATCH(B$1,Sensibilidad!$S$13:$AD$13,0))</f>
        <v>0.5</v>
      </c>
      <c r="C12" s="19">
        <f>INDEX(Sensibilidad!$S$14:$AD$25,MATCH($A12,Sensibilidad!$R$14:$R$25,0),MATCH(C$1,Sensibilidad!$S$13:$AD$13,0))</f>
        <v>-0.5</v>
      </c>
      <c r="D12" s="19">
        <f>INDEX(Sensibilidad!$S$14:$AD$25,MATCH($A12,Sensibilidad!$R$14:$R$25,0),MATCH(D$1,Sensibilidad!$S$13:$AD$13,0))</f>
        <v>1</v>
      </c>
    </row>
    <row r="13" spans="1:4" ht="15.75" thickBot="1" x14ac:dyDescent="0.3">
      <c r="A13" s="5"/>
    </row>
    <row r="14" spans="1:4" ht="15.75" thickBot="1" x14ac:dyDescent="0.3">
      <c r="A14" s="5"/>
    </row>
    <row r="15" spans="1:4" ht="15.75" thickBot="1" x14ac:dyDescent="0.3">
      <c r="A15" s="5"/>
    </row>
    <row r="16" spans="1:4" ht="15.75" thickBot="1" x14ac:dyDescent="0.3">
      <c r="A16" s="5"/>
    </row>
    <row r="17" spans="1:1" x14ac:dyDescent="0.25">
      <c r="A17" s="26"/>
    </row>
    <row r="18" spans="1:1" x14ac:dyDescent="0.25">
      <c r="A18" s="26"/>
    </row>
    <row r="19" spans="1:1" ht="15.75" thickBot="1" x14ac:dyDescent="0.3">
      <c r="A19" s="26"/>
    </row>
    <row r="20" spans="1:1" ht="15.75" thickBot="1" x14ac:dyDescent="0.3">
      <c r="A20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EA0E7-3CA6-4A57-8617-E2ACC64A9587}">
  <dimension ref="A1:E12"/>
  <sheetViews>
    <sheetView zoomScaleNormal="100" workbookViewId="0">
      <selection activeCell="B12" sqref="A12:B12"/>
    </sheetView>
  </sheetViews>
  <sheetFormatPr baseColWidth="10" defaultRowHeight="15" x14ac:dyDescent="0.25"/>
  <cols>
    <col min="1" max="1" width="6.42578125" customWidth="1"/>
    <col min="2" max="2" width="7.5703125" bestFit="1" customWidth="1"/>
    <col min="3" max="3" width="9.85546875" style="22" bestFit="1" customWidth="1"/>
    <col min="4" max="4" width="10.7109375" style="22" bestFit="1" customWidth="1"/>
    <col min="5" max="5" width="11.85546875" style="22" bestFit="1" customWidth="1"/>
  </cols>
  <sheetData>
    <row r="1" spans="1:5" x14ac:dyDescent="0.25">
      <c r="A1" s="17" t="s">
        <v>27</v>
      </c>
      <c r="B1" s="17" t="s">
        <v>10</v>
      </c>
      <c r="C1" s="18" t="s">
        <v>53</v>
      </c>
      <c r="D1" s="18" t="s">
        <v>54</v>
      </c>
      <c r="E1" s="18" t="s">
        <v>55</v>
      </c>
    </row>
    <row r="2" spans="1:5" x14ac:dyDescent="0.25">
      <c r="A2" s="1" t="s">
        <v>4</v>
      </c>
      <c r="B2" s="19">
        <f>INDEX(Sensibilidad!$S$14:$AB$25,MATCH($A2,Sensibilidad!$R$14:$R$25,0),MATCH(B$1,Sensibilidad!$S$13:$AB$13,0))</f>
        <v>10</v>
      </c>
      <c r="C2" s="19">
        <f>INDEX(Sensibilidad!$S$14:$AB$25,MATCH($A2,Sensibilidad!$R$14:$R$25,0),MATCH(C$1,Sensibilidad!$S$13:$AB$13,0))</f>
        <v>20</v>
      </c>
      <c r="D2" s="19">
        <f>INDEX(Sensibilidad!$S$14:$AB$25,MATCH($A2,Sensibilidad!$R$14:$R$25,0),MATCH(D$1,Sensibilidad!$S$13:$AB$13,0))</f>
        <v>10</v>
      </c>
      <c r="E2" s="19">
        <f>INDEX(Sensibilidad!$S$14:$AB$25,MATCH($A2,Sensibilidad!$R$14:$R$25,0),MATCH(E$1,Sensibilidad!$S$13:$AB$13,0))</f>
        <v>20</v>
      </c>
    </row>
    <row r="3" spans="1:5" x14ac:dyDescent="0.25">
      <c r="A3" s="1" t="s">
        <v>3</v>
      </c>
      <c r="B3" s="19">
        <f>INDEX(Sensibilidad!$S$14:$AB$25,MATCH($A3,Sensibilidad!$R$14:$R$25,0),MATCH(B$1,Sensibilidad!$S$13:$AB$13,0))</f>
        <v>5</v>
      </c>
      <c r="C3" s="19">
        <f>INDEX(Sensibilidad!$S$14:$AB$25,MATCH($A3,Sensibilidad!$R$14:$R$25,0),MATCH(C$1,Sensibilidad!$S$13:$AB$13,0))</f>
        <v>10</v>
      </c>
      <c r="D3" s="19">
        <f>INDEX(Sensibilidad!$S$14:$AB$25,MATCH($A3,Sensibilidad!$R$14:$R$25,0),MATCH(D$1,Sensibilidad!$S$13:$AB$13,0))</f>
        <v>5</v>
      </c>
      <c r="E3" s="19">
        <f>INDEX(Sensibilidad!$S$14:$AB$25,MATCH($A3,Sensibilidad!$R$14:$R$25,0),MATCH(E$1,Sensibilidad!$S$13:$AB$13,0))</f>
        <v>10</v>
      </c>
    </row>
    <row r="4" spans="1:5" x14ac:dyDescent="0.25">
      <c r="A4" s="2" t="s">
        <v>2</v>
      </c>
      <c r="B4" s="19">
        <f>INDEX(Sensibilidad!$S$14:$AB$25,MATCH($A4,Sensibilidad!$R$14:$R$25,0),MATCH(B$1,Sensibilidad!$S$13:$AB$13,0))</f>
        <v>520</v>
      </c>
      <c r="C4" s="19">
        <f>INDEX(Sensibilidad!$S$14:$AB$25,MATCH($A4,Sensibilidad!$R$14:$R$25,0),MATCH(C$1,Sensibilidad!$S$13:$AB$13,0))</f>
        <v>416</v>
      </c>
      <c r="D4" s="19">
        <f>INDEX(Sensibilidad!$S$14:$AB$25,MATCH($A4,Sensibilidad!$R$14:$R$25,0),MATCH(D$1,Sensibilidad!$S$13:$AB$13,0))</f>
        <v>520</v>
      </c>
      <c r="E4" s="19">
        <f>INDEX(Sensibilidad!$S$14:$AB$25,MATCH($A4,Sensibilidad!$R$14:$R$25,0),MATCH(E$1,Sensibilidad!$S$13:$AB$13,0))</f>
        <v>390</v>
      </c>
    </row>
    <row r="5" spans="1:5" x14ac:dyDescent="0.25">
      <c r="A5" s="2" t="s">
        <v>49</v>
      </c>
      <c r="B5" s="19">
        <f>INDEX(Sensibilidad!$S$14:$AB$25,MATCH($A5,Sensibilidad!$R$14:$R$25,0),MATCH(B$1,Sensibilidad!$S$13:$AB$13,0))</f>
        <v>1</v>
      </c>
      <c r="C5" s="19">
        <f>INDEX(Sensibilidad!$S$14:$AB$25,MATCH($A5,Sensibilidad!$R$14:$R$25,0),MATCH(C$1,Sensibilidad!$S$13:$AB$13,0))</f>
        <v>1</v>
      </c>
      <c r="D5" s="19">
        <f>INDEX(Sensibilidad!$S$14:$AB$25,MATCH($A5,Sensibilidad!$R$14:$R$25,0),MATCH(D$1,Sensibilidad!$S$13:$AB$13,0))</f>
        <v>1.25</v>
      </c>
      <c r="E5" s="19">
        <f>INDEX(Sensibilidad!$S$14:$AB$25,MATCH($A5,Sensibilidad!$R$14:$R$25,0),MATCH(E$1,Sensibilidad!$S$13:$AB$13,0))</f>
        <v>1.1000000000000001</v>
      </c>
    </row>
    <row r="6" spans="1:5" x14ac:dyDescent="0.25">
      <c r="A6" s="3" t="s">
        <v>1</v>
      </c>
      <c r="B6" s="19">
        <f>INDEX(Sensibilidad!$S$14:$AB$25,MATCH($A6,Sensibilidad!$R$14:$R$25,0),MATCH(B$1,Sensibilidad!$S$13:$AB$13,0))</f>
        <v>20</v>
      </c>
      <c r="C6" s="19">
        <f>INDEX(Sensibilidad!$S$14:$AB$25,MATCH($A6,Sensibilidad!$R$14:$R$25,0),MATCH(C$1,Sensibilidad!$S$13:$AB$13,0))</f>
        <v>24</v>
      </c>
      <c r="D6" s="19">
        <f>INDEX(Sensibilidad!$S$14:$AB$25,MATCH($A6,Sensibilidad!$R$14:$R$25,0),MATCH(D$1,Sensibilidad!$S$13:$AB$13,0))</f>
        <v>16</v>
      </c>
      <c r="E6" s="19">
        <f>INDEX(Sensibilidad!$S$14:$AB$25,MATCH($A6,Sensibilidad!$R$14:$R$25,0),MATCH(E$1,Sensibilidad!$S$13:$AB$13,0))</f>
        <v>20</v>
      </c>
    </row>
    <row r="7" spans="1:5" x14ac:dyDescent="0.25">
      <c r="A7" s="3" t="s">
        <v>47</v>
      </c>
      <c r="B7" s="19">
        <f>INDEX(Sensibilidad!$S$14:$AB$25,MATCH($A7,Sensibilidad!$R$14:$R$25,0),MATCH(B$1,Sensibilidad!$S$13:$AB$13,0))</f>
        <v>1</v>
      </c>
      <c r="C7" s="19">
        <f>INDEX(Sensibilidad!$S$14:$AB$25,MATCH($A7,Sensibilidad!$R$14:$R$25,0),MATCH(C$1,Sensibilidad!$S$13:$AB$13,0))</f>
        <v>1.25</v>
      </c>
      <c r="D7" s="19">
        <f>INDEX(Sensibilidad!$S$14:$AB$25,MATCH($A7,Sensibilidad!$R$14:$R$25,0),MATCH(D$1,Sensibilidad!$S$13:$AB$13,0))</f>
        <v>1</v>
      </c>
      <c r="E7" s="19">
        <f>INDEX(Sensibilidad!$S$14:$AB$25,MATCH($A7,Sensibilidad!$R$14:$R$25,0),MATCH(E$1,Sensibilidad!$S$13:$AB$13,0))</f>
        <v>1.25</v>
      </c>
    </row>
    <row r="8" spans="1:5" x14ac:dyDescent="0.25">
      <c r="A8" s="4" t="s">
        <v>46</v>
      </c>
      <c r="B8" s="19">
        <f>INDEX(Sensibilidad!$S$14:$AB$25,MATCH($A8,Sensibilidad!$R$14:$R$25,0),MATCH(B$1,Sensibilidad!$S$13:$AB$13,0))</f>
        <v>1.5</v>
      </c>
      <c r="C8" s="19">
        <f>INDEX(Sensibilidad!$S$14:$AB$25,MATCH($A8,Sensibilidad!$R$14:$R$25,0),MATCH(C$1,Sensibilidad!$S$13:$AB$13,0))</f>
        <v>1.5</v>
      </c>
      <c r="D8" s="19">
        <f>INDEX(Sensibilidad!$S$14:$AB$25,MATCH($A8,Sensibilidad!$R$14:$R$25,0),MATCH(D$1,Sensibilidad!$S$13:$AB$13,0))</f>
        <v>0.75</v>
      </c>
      <c r="E8" s="19">
        <f>INDEX(Sensibilidad!$S$14:$AB$25,MATCH($A8,Sensibilidad!$R$14:$R$25,0),MATCH(E$1,Sensibilidad!$S$13:$AB$13,0))</f>
        <v>1.2000000000000002</v>
      </c>
    </row>
    <row r="9" spans="1:5" x14ac:dyDescent="0.25">
      <c r="A9" s="4" t="s">
        <v>45</v>
      </c>
      <c r="B9" s="19">
        <f>INDEX(Sensibilidad!$S$14:$AB$25,MATCH($A9,Sensibilidad!$R$14:$R$25,0),MATCH(B$1,Sensibilidad!$S$13:$AB$13,0))</f>
        <v>10</v>
      </c>
      <c r="C9" s="19">
        <f>INDEX(Sensibilidad!$S$14:$AB$25,MATCH($A9,Sensibilidad!$R$14:$R$25,0),MATCH(C$1,Sensibilidad!$S$13:$AB$13,0))</f>
        <v>10</v>
      </c>
      <c r="D9" s="19">
        <f>INDEX(Sensibilidad!$S$14:$AB$25,MATCH($A9,Sensibilidad!$R$14:$R$25,0),MATCH(D$1,Sensibilidad!$S$13:$AB$13,0))</f>
        <v>15</v>
      </c>
      <c r="E9" s="19">
        <f>INDEX(Sensibilidad!$S$14:$AB$25,MATCH($A9,Sensibilidad!$R$14:$R$25,0),MATCH(E$1,Sensibilidad!$S$13:$AB$13,0))</f>
        <v>12.5</v>
      </c>
    </row>
    <row r="10" spans="1:5" x14ac:dyDescent="0.25">
      <c r="A10" s="4" t="s">
        <v>44</v>
      </c>
      <c r="B10" s="19">
        <f>INDEX(Sensibilidad!$S$14:$AB$25,MATCH($A10,Sensibilidad!$R$14:$R$25,0),MATCH(B$1,Sensibilidad!$S$13:$AB$13,0))</f>
        <v>6.75</v>
      </c>
      <c r="C10" s="19">
        <f>INDEX(Sensibilidad!$S$14:$AB$25,MATCH($A10,Sensibilidad!$R$14:$R$25,0),MATCH(C$1,Sensibilidad!$S$13:$AB$13,0))</f>
        <v>6.75</v>
      </c>
      <c r="D10" s="19">
        <f>INDEX(Sensibilidad!$S$14:$AB$25,MATCH($A10,Sensibilidad!$R$14:$R$25,0),MATCH(D$1,Sensibilidad!$S$13:$AB$13,0))</f>
        <v>3.375</v>
      </c>
      <c r="E10" s="19">
        <f>INDEX(Sensibilidad!$S$14:$AB$25,MATCH($A10,Sensibilidad!$R$14:$R$25,0),MATCH(E$1,Sensibilidad!$S$13:$AB$13,0))</f>
        <v>5.4</v>
      </c>
    </row>
    <row r="11" spans="1:5" x14ac:dyDescent="0.25">
      <c r="A11" s="4" t="s">
        <v>0</v>
      </c>
      <c r="B11" s="19">
        <f>INDEX(Sensibilidad!$S$14:$AB$25,MATCH($A11,Sensibilidad!$R$14:$R$25,0),MATCH(B$1,Sensibilidad!$S$13:$AB$13,0))</f>
        <v>59</v>
      </c>
      <c r="C11" s="19">
        <f>INDEX(Sensibilidad!$S$14:$AB$25,MATCH($A11,Sensibilidad!$R$14:$R$25,0),MATCH(C$1,Sensibilidad!$S$13:$AB$13,0))</f>
        <v>59</v>
      </c>
      <c r="D11" s="19">
        <f>INDEX(Sensibilidad!$S$14:$AB$25,MATCH($A11,Sensibilidad!$R$14:$R$25,0),MATCH(D$1,Sensibilidad!$S$13:$AB$13,0))</f>
        <v>50.15</v>
      </c>
      <c r="E11" s="19">
        <f>INDEX(Sensibilidad!$S$14:$AB$25,MATCH($A11,Sensibilidad!$R$14:$R$25,0),MATCH(E$1,Sensibilidad!$S$13:$AB$13,0))</f>
        <v>53.1</v>
      </c>
    </row>
    <row r="12" spans="1:5" x14ac:dyDescent="0.25">
      <c r="A12" s="2" t="s">
        <v>37</v>
      </c>
      <c r="B12" s="19">
        <f>INDEX(Sensibilidad!$S$14:$AB$25,MATCH($A12,Sensibilidad!$R$14:$R$25,0),MATCH(B$1,Sensibilidad!$S$13:$AB$13,0))</f>
        <v>0.5</v>
      </c>
      <c r="C12" s="19">
        <f>INDEX(Sensibilidad!$S$14:$AB$25,MATCH($A12,Sensibilidad!$R$14:$R$25,0),MATCH(C$1,Sensibilidad!$S$13:$AB$13,0))</f>
        <v>1</v>
      </c>
      <c r="D12" s="19">
        <f>INDEX(Sensibilidad!$S$14:$AB$25,MATCH($A12,Sensibilidad!$R$14:$R$25,0),MATCH(D$1,Sensibilidad!$S$13:$AB$13,0))</f>
        <v>1</v>
      </c>
      <c r="E12" s="19">
        <f>INDEX(Sensibilidad!$S$14:$AB$25,MATCH($A12,Sensibilidad!$R$14:$R$25,0),MATCH(E$1,Sensibilidad!$S$13:$AB$13,0))</f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0585D-3680-4A49-8DEF-BA881731DA90}">
  <dimension ref="A1:E12"/>
  <sheetViews>
    <sheetView zoomScaleNormal="100" workbookViewId="0">
      <selection activeCell="C1" sqref="C1:E1"/>
    </sheetView>
  </sheetViews>
  <sheetFormatPr baseColWidth="10" defaultRowHeight="15" x14ac:dyDescent="0.25"/>
  <cols>
    <col min="1" max="1" width="6.42578125" bestFit="1" customWidth="1"/>
    <col min="2" max="2" width="7.5703125" bestFit="1" customWidth="1"/>
    <col min="3" max="3" width="9.42578125" style="24" bestFit="1" customWidth="1"/>
    <col min="4" max="4" width="10.28515625" style="24" bestFit="1" customWidth="1"/>
    <col min="5" max="5" width="11.42578125" style="24"/>
  </cols>
  <sheetData>
    <row r="1" spans="1:5" x14ac:dyDescent="0.25">
      <c r="A1" s="17" t="s">
        <v>27</v>
      </c>
      <c r="B1" s="17" t="s">
        <v>10</v>
      </c>
      <c r="C1" s="23" t="s">
        <v>56</v>
      </c>
      <c r="D1" s="23" t="s">
        <v>57</v>
      </c>
      <c r="E1" s="23" t="s">
        <v>58</v>
      </c>
    </row>
    <row r="2" spans="1:5" x14ac:dyDescent="0.25">
      <c r="A2" s="1" t="s">
        <v>4</v>
      </c>
      <c r="B2" s="19">
        <f>INDEX(Sensibilidad!$S$14:$AB$25,MATCH($A2,Sensibilidad!$R$14:$R$25,0),MATCH(B$1,Sensibilidad!$S$13:$AB$13,0))</f>
        <v>10</v>
      </c>
      <c r="C2" s="19">
        <f>INDEX(Sensibilidad!$S$14:$AB$25,MATCH($A2,Sensibilidad!$R$14:$R$25,0),MATCH(C$1,Sensibilidad!$S$13:$AB$13,0))</f>
        <v>20</v>
      </c>
      <c r="D2" s="19">
        <f>INDEX(Sensibilidad!$S$14:$AB$25,MATCH($A2,Sensibilidad!$R$14:$R$25,0),MATCH(D$1,Sensibilidad!$S$13:$AB$13,0))</f>
        <v>10</v>
      </c>
      <c r="E2" s="19">
        <f>INDEX(Sensibilidad!$S$14:$AB$25,MATCH($A2,Sensibilidad!$R$14:$R$25,0),MATCH(E$1,Sensibilidad!$S$13:$AB$13,0))</f>
        <v>20</v>
      </c>
    </row>
    <row r="3" spans="1:5" x14ac:dyDescent="0.25">
      <c r="A3" s="1" t="s">
        <v>3</v>
      </c>
      <c r="B3" s="19">
        <f>INDEX(Sensibilidad!$S$14:$AB$25,MATCH($A3,Sensibilidad!$R$14:$R$25,0),MATCH(B$1,Sensibilidad!$S$13:$AB$13,0))</f>
        <v>5</v>
      </c>
      <c r="C3" s="19">
        <f>INDEX(Sensibilidad!$S$14:$AB$25,MATCH($A3,Sensibilidad!$R$14:$R$25,0),MATCH(C$1,Sensibilidad!$S$13:$AB$13,0))</f>
        <v>10</v>
      </c>
      <c r="D3" s="19">
        <f>INDEX(Sensibilidad!$S$14:$AB$25,MATCH($A3,Sensibilidad!$R$14:$R$25,0),MATCH(D$1,Sensibilidad!$S$13:$AB$13,0))</f>
        <v>5</v>
      </c>
      <c r="E3" s="19">
        <f>INDEX(Sensibilidad!$S$14:$AB$25,MATCH($A3,Sensibilidad!$R$14:$R$25,0),MATCH(E$1,Sensibilidad!$S$13:$AB$13,0))</f>
        <v>10</v>
      </c>
    </row>
    <row r="4" spans="1:5" x14ac:dyDescent="0.25">
      <c r="A4" s="2" t="s">
        <v>2</v>
      </c>
      <c r="B4" s="19">
        <f>INDEX(Sensibilidad!$S$14:$AB$25,MATCH($A4,Sensibilidad!$R$14:$R$25,0),MATCH(B$1,Sensibilidad!$S$13:$AB$13,0))</f>
        <v>520</v>
      </c>
      <c r="C4" s="19">
        <f>INDEX(Sensibilidad!$S$14:$AB$25,MATCH($A4,Sensibilidad!$R$14:$R$25,0),MATCH(C$1,Sensibilidad!$S$13:$AB$13,0))</f>
        <v>416</v>
      </c>
      <c r="D4" s="19">
        <f>INDEX(Sensibilidad!$S$14:$AB$25,MATCH($A4,Sensibilidad!$R$14:$R$25,0),MATCH(D$1,Sensibilidad!$S$13:$AB$13,0))</f>
        <v>520</v>
      </c>
      <c r="E4" s="19">
        <f>INDEX(Sensibilidad!$S$14:$AB$25,MATCH($A4,Sensibilidad!$R$14:$R$25,0),MATCH(E$1,Sensibilidad!$S$13:$AB$13,0))</f>
        <v>390</v>
      </c>
    </row>
    <row r="5" spans="1:5" x14ac:dyDescent="0.25">
      <c r="A5" s="2" t="s">
        <v>49</v>
      </c>
      <c r="B5" s="19">
        <f>INDEX(Sensibilidad!$S$14:$AB$25,MATCH($A5,Sensibilidad!$R$14:$R$25,0),MATCH(B$1,Sensibilidad!$S$13:$AB$13,0))</f>
        <v>1</v>
      </c>
      <c r="C5" s="19">
        <f>INDEX(Sensibilidad!$S$14:$AB$25,MATCH($A5,Sensibilidad!$R$14:$R$25,0),MATCH(C$1,Sensibilidad!$S$13:$AB$13,0))</f>
        <v>1</v>
      </c>
      <c r="D5" s="19">
        <f>INDEX(Sensibilidad!$S$14:$AB$25,MATCH($A5,Sensibilidad!$R$14:$R$25,0),MATCH(D$1,Sensibilidad!$S$13:$AB$13,0))</f>
        <v>1.25</v>
      </c>
      <c r="E5" s="19">
        <f>INDEX(Sensibilidad!$S$14:$AB$25,MATCH($A5,Sensibilidad!$R$14:$R$25,0),MATCH(E$1,Sensibilidad!$S$13:$AB$13,0))</f>
        <v>1.1000000000000001</v>
      </c>
    </row>
    <row r="6" spans="1:5" x14ac:dyDescent="0.25">
      <c r="A6" s="3" t="s">
        <v>1</v>
      </c>
      <c r="B6" s="19">
        <f>INDEX(Sensibilidad!$S$14:$AB$25,MATCH($A6,Sensibilidad!$R$14:$R$25,0),MATCH(B$1,Sensibilidad!$S$13:$AB$13,0))</f>
        <v>20</v>
      </c>
      <c r="C6" s="19">
        <f>INDEX(Sensibilidad!$S$14:$AB$25,MATCH($A6,Sensibilidad!$R$14:$R$25,0),MATCH(C$1,Sensibilidad!$S$13:$AB$13,0))</f>
        <v>24</v>
      </c>
      <c r="D6" s="19">
        <f>INDEX(Sensibilidad!$S$14:$AB$25,MATCH($A6,Sensibilidad!$R$14:$R$25,0),MATCH(D$1,Sensibilidad!$S$13:$AB$13,0))</f>
        <v>16</v>
      </c>
      <c r="E6" s="19">
        <f>INDEX(Sensibilidad!$S$14:$AB$25,MATCH($A6,Sensibilidad!$R$14:$R$25,0),MATCH(E$1,Sensibilidad!$S$13:$AB$13,0))</f>
        <v>20</v>
      </c>
    </row>
    <row r="7" spans="1:5" x14ac:dyDescent="0.25">
      <c r="A7" s="3" t="s">
        <v>47</v>
      </c>
      <c r="B7" s="19">
        <f>INDEX(Sensibilidad!$S$14:$AB$25,MATCH($A7,Sensibilidad!$R$14:$R$25,0),MATCH(B$1,Sensibilidad!$S$13:$AB$13,0))</f>
        <v>1</v>
      </c>
      <c r="C7" s="19">
        <f>INDEX(Sensibilidad!$S$14:$AB$25,MATCH($A7,Sensibilidad!$R$14:$R$25,0),MATCH(C$1,Sensibilidad!$S$13:$AB$13,0))</f>
        <v>1.25</v>
      </c>
      <c r="D7" s="19">
        <f>INDEX(Sensibilidad!$S$14:$AB$25,MATCH($A7,Sensibilidad!$R$14:$R$25,0),MATCH(D$1,Sensibilidad!$S$13:$AB$13,0))</f>
        <v>1</v>
      </c>
      <c r="E7" s="19">
        <f>INDEX(Sensibilidad!$S$14:$AB$25,MATCH($A7,Sensibilidad!$R$14:$R$25,0),MATCH(E$1,Sensibilidad!$S$13:$AB$13,0))</f>
        <v>1.25</v>
      </c>
    </row>
    <row r="8" spans="1:5" x14ac:dyDescent="0.25">
      <c r="A8" s="4" t="s">
        <v>46</v>
      </c>
      <c r="B8" s="19">
        <f>INDEX(Sensibilidad!$S$14:$AB$25,MATCH($A8,Sensibilidad!$R$14:$R$25,0),MATCH(B$1,Sensibilidad!$S$13:$AB$13,0))</f>
        <v>1.5</v>
      </c>
      <c r="C8" s="19">
        <f>INDEX(Sensibilidad!$S$14:$AB$25,MATCH($A8,Sensibilidad!$R$14:$R$25,0),MATCH(C$1,Sensibilidad!$S$13:$AB$13,0))</f>
        <v>1.5</v>
      </c>
      <c r="D8" s="19">
        <f>INDEX(Sensibilidad!$S$14:$AB$25,MATCH($A8,Sensibilidad!$R$14:$R$25,0),MATCH(D$1,Sensibilidad!$S$13:$AB$13,0))</f>
        <v>0.75</v>
      </c>
      <c r="E8" s="19">
        <f>INDEX(Sensibilidad!$S$14:$AB$25,MATCH($A8,Sensibilidad!$R$14:$R$25,0),MATCH(E$1,Sensibilidad!$S$13:$AB$13,0))</f>
        <v>1.2000000000000002</v>
      </c>
    </row>
    <row r="9" spans="1:5" x14ac:dyDescent="0.25">
      <c r="A9" s="4" t="s">
        <v>45</v>
      </c>
      <c r="B9" s="19">
        <f>INDEX(Sensibilidad!$S$14:$AB$25,MATCH($A9,Sensibilidad!$R$14:$R$25,0),MATCH(B$1,Sensibilidad!$S$13:$AB$13,0))</f>
        <v>10</v>
      </c>
      <c r="C9" s="19">
        <f>INDEX(Sensibilidad!$S$14:$AB$25,MATCH($A9,Sensibilidad!$R$14:$R$25,0),MATCH(C$1,Sensibilidad!$S$13:$AB$13,0))</f>
        <v>10</v>
      </c>
      <c r="D9" s="19">
        <f>INDEX(Sensibilidad!$S$14:$AB$25,MATCH($A9,Sensibilidad!$R$14:$R$25,0),MATCH(D$1,Sensibilidad!$S$13:$AB$13,0))</f>
        <v>15</v>
      </c>
      <c r="E9" s="19">
        <f>INDEX(Sensibilidad!$S$14:$AB$25,MATCH($A9,Sensibilidad!$R$14:$R$25,0),MATCH(E$1,Sensibilidad!$S$13:$AB$13,0))</f>
        <v>12.5</v>
      </c>
    </row>
    <row r="10" spans="1:5" x14ac:dyDescent="0.25">
      <c r="A10" s="4" t="s">
        <v>44</v>
      </c>
      <c r="B10" s="19">
        <f>INDEX(Sensibilidad!$S$14:$AB$25,MATCH($A10,Sensibilidad!$R$14:$R$25,0),MATCH(B$1,Sensibilidad!$S$13:$AB$13,0))</f>
        <v>6.75</v>
      </c>
      <c r="C10" s="19">
        <f>INDEX(Sensibilidad!$S$14:$AB$25,MATCH($A10,Sensibilidad!$R$14:$R$25,0),MATCH(C$1,Sensibilidad!$S$13:$AB$13,0))</f>
        <v>6.75</v>
      </c>
      <c r="D10" s="19">
        <f>INDEX(Sensibilidad!$S$14:$AB$25,MATCH($A10,Sensibilidad!$R$14:$R$25,0),MATCH(D$1,Sensibilidad!$S$13:$AB$13,0))</f>
        <v>3.375</v>
      </c>
      <c r="E10" s="19">
        <f>INDEX(Sensibilidad!$S$14:$AB$25,MATCH($A10,Sensibilidad!$R$14:$R$25,0),MATCH(E$1,Sensibilidad!$S$13:$AB$13,0))</f>
        <v>5.4</v>
      </c>
    </row>
    <row r="11" spans="1:5" x14ac:dyDescent="0.25">
      <c r="A11" s="4" t="s">
        <v>0</v>
      </c>
      <c r="B11" s="19">
        <f>INDEX(Sensibilidad!$S$14:$AB$25,MATCH($A11,Sensibilidad!$R$14:$R$25,0),MATCH(B$1,Sensibilidad!$S$13:$AB$13,0))</f>
        <v>59</v>
      </c>
      <c r="C11" s="19">
        <f>INDEX(Sensibilidad!$S$14:$AB$25,MATCH($A11,Sensibilidad!$R$14:$R$25,0),MATCH(C$1,Sensibilidad!$S$13:$AB$13,0))</f>
        <v>59</v>
      </c>
      <c r="D11" s="19">
        <f>INDEX(Sensibilidad!$S$14:$AB$25,MATCH($A11,Sensibilidad!$R$14:$R$25,0),MATCH(D$1,Sensibilidad!$S$13:$AB$13,0))</f>
        <v>50.15</v>
      </c>
      <c r="E11" s="19">
        <f>INDEX(Sensibilidad!$S$14:$AB$25,MATCH($A11,Sensibilidad!$R$14:$R$25,0),MATCH(E$1,Sensibilidad!$S$13:$AB$13,0))</f>
        <v>53.1</v>
      </c>
    </row>
    <row r="12" spans="1:5" x14ac:dyDescent="0.25">
      <c r="A12" s="2" t="s">
        <v>37</v>
      </c>
      <c r="B12" s="19">
        <f>INDEX(Sensibilidad!$S$14:$AB$25,MATCH($A12,Sensibilidad!$R$14:$R$25,0),MATCH(B$1,Sensibilidad!$S$13:$AB$13,0))</f>
        <v>0.5</v>
      </c>
      <c r="C12" s="19">
        <f>INDEX(Sensibilidad!$S$14:$AB$25,MATCH($A12,Sensibilidad!$R$14:$R$25,0),MATCH(C$1,Sensibilidad!$S$13:$AB$13,0))</f>
        <v>-0.5</v>
      </c>
      <c r="D12" s="19">
        <f>INDEX(Sensibilidad!$S$14:$AB$25,MATCH($A12,Sensibilidad!$R$14:$R$25,0),MATCH(D$1,Sensibilidad!$S$13:$AB$13,0))</f>
        <v>-0.5</v>
      </c>
      <c r="E12" s="19">
        <f>INDEX(Sensibilidad!$S$14:$AB$25,MATCH($A12,Sensibilidad!$R$14:$R$25,0),MATCH(E$1,Sensibilidad!$S$13:$AB$13,0))</f>
        <v>-0.5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B1E4C-4286-44AE-85F5-9DC8D2DF7D50}">
  <dimension ref="A1:D6"/>
  <sheetViews>
    <sheetView zoomScale="160" zoomScaleNormal="160" workbookViewId="0">
      <selection activeCell="B3" sqref="B3:D3"/>
    </sheetView>
  </sheetViews>
  <sheetFormatPr baseColWidth="10" defaultRowHeight="15" x14ac:dyDescent="0.25"/>
  <cols>
    <col min="1" max="1" width="5.85546875" bestFit="1" customWidth="1"/>
  </cols>
  <sheetData>
    <row r="1" spans="1:4" x14ac:dyDescent="0.25">
      <c r="B1" t="s">
        <v>38</v>
      </c>
      <c r="C1" t="s">
        <v>39</v>
      </c>
      <c r="D1" t="s">
        <v>40</v>
      </c>
    </row>
    <row r="2" spans="1:4" x14ac:dyDescent="0.25">
      <c r="A2" t="s">
        <v>32</v>
      </c>
      <c r="B2">
        <v>275</v>
      </c>
      <c r="C2">
        <v>275</v>
      </c>
      <c r="D2">
        <v>275</v>
      </c>
    </row>
    <row r="3" spans="1:4" x14ac:dyDescent="0.25">
      <c r="A3" t="s">
        <v>33</v>
      </c>
      <c r="B3">
        <v>162.5</v>
      </c>
      <c r="C3">
        <v>387.5</v>
      </c>
      <c r="D3">
        <v>162.5</v>
      </c>
    </row>
    <row r="4" spans="1:4" x14ac:dyDescent="0.25">
      <c r="A4" t="s">
        <v>34</v>
      </c>
      <c r="B4">
        <v>387.5</v>
      </c>
      <c r="C4">
        <v>162.5</v>
      </c>
      <c r="D4">
        <v>387.5</v>
      </c>
    </row>
    <row r="5" spans="1:4" x14ac:dyDescent="0.25">
      <c r="A5" t="s">
        <v>35</v>
      </c>
      <c r="B5">
        <v>218.75</v>
      </c>
      <c r="C5">
        <v>331.25</v>
      </c>
      <c r="D5">
        <v>106.25</v>
      </c>
    </row>
    <row r="6" spans="1:4" x14ac:dyDescent="0.25">
      <c r="A6" t="s">
        <v>36</v>
      </c>
      <c r="B6">
        <v>443.75</v>
      </c>
      <c r="C6">
        <v>106.25</v>
      </c>
      <c r="D6">
        <v>331.25</v>
      </c>
    </row>
  </sheetData>
  <conditionalFormatting sqref="B2:B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:C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D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Sensibilidad</vt:lpstr>
      <vt:lpstr>BAU</vt:lpstr>
      <vt:lpstr>BAU-OP-PE</vt:lpstr>
      <vt:lpstr>BAV-OP</vt:lpstr>
      <vt:lpstr>BAV-PE</vt:lpstr>
      <vt:lpstr>BAU-ES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AVILA CHOCONTA</dc:creator>
  <cp:lastModifiedBy>AVILA CHOCONTA HAROL ANDREY</cp:lastModifiedBy>
  <dcterms:created xsi:type="dcterms:W3CDTF">2015-06-05T18:19:34Z</dcterms:created>
  <dcterms:modified xsi:type="dcterms:W3CDTF">2024-06-30T05:18:19Z</dcterms:modified>
</cp:coreProperties>
</file>