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cuments\Trabajos\Modelo Sostenibilidad Universidad Militar\Modelado\"/>
    </mc:Choice>
  </mc:AlternateContent>
  <xr:revisionPtr revIDLastSave="0" documentId="13_ncr:1_{FCB2937D-FBA6-4BD4-A574-F5B6D1644031}" xr6:coauthVersionLast="47" xr6:coauthVersionMax="47" xr10:uidLastSave="{00000000-0000-0000-0000-000000000000}"/>
  <bookViews>
    <workbookView xWindow="2010" yWindow="2340" windowWidth="28800" windowHeight="12705" xr2:uid="{00000000-000D-0000-FFFF-FFFF00000000}"/>
  </bookViews>
  <sheets>
    <sheet name="BAU" sheetId="2" r:id="rId1"/>
    <sheet name="BAI" sheetId="3" r:id="rId2"/>
    <sheet name="BAV-OP" sheetId="5" r:id="rId3"/>
    <sheet name="BAV-PE" sheetId="6" r:id="rId4"/>
    <sheet name="BAU-ES" sheetId="8" r:id="rId5"/>
    <sheet name="Summary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7" l="1"/>
  <c r="F11" i="7"/>
  <c r="E11" i="7"/>
  <c r="D11" i="7"/>
  <c r="G10" i="7"/>
  <c r="F10" i="7"/>
  <c r="E10" i="7"/>
  <c r="D10" i="7"/>
  <c r="G9" i="7"/>
  <c r="F9" i="7"/>
  <c r="E9" i="7"/>
  <c r="D9" i="7"/>
  <c r="G8" i="7"/>
  <c r="F8" i="7"/>
  <c r="E8" i="7"/>
  <c r="D8" i="7"/>
  <c r="G7" i="7"/>
  <c r="F7" i="7"/>
  <c r="E7" i="7"/>
  <c r="D7" i="7"/>
  <c r="G6" i="7"/>
  <c r="F6" i="7"/>
  <c r="E6" i="7"/>
  <c r="D6" i="7"/>
  <c r="G5" i="7"/>
  <c r="F5" i="7"/>
  <c r="E5" i="7"/>
  <c r="D5" i="7"/>
  <c r="D1" i="7"/>
  <c r="G4" i="7"/>
  <c r="F4" i="7"/>
  <c r="E4" i="7"/>
  <c r="D4" i="7"/>
  <c r="D3" i="7"/>
  <c r="G3" i="7"/>
  <c r="F3" i="7"/>
  <c r="E3" i="7"/>
  <c r="G2" i="7"/>
  <c r="F2" i="7"/>
  <c r="E2" i="7"/>
  <c r="D2" i="7"/>
  <c r="D15" i="7"/>
  <c r="G21" i="7" l="1"/>
  <c r="C11" i="7" l="1"/>
  <c r="C6" i="7"/>
  <c r="C7" i="7"/>
  <c r="E16" i="7" l="1"/>
  <c r="F16" i="7"/>
  <c r="C10" i="7"/>
  <c r="C9" i="7"/>
  <c r="C8" i="7"/>
  <c r="C5" i="7"/>
  <c r="C4" i="7"/>
  <c r="C3" i="7"/>
  <c r="C2" i="7"/>
  <c r="G1" i="7"/>
  <c r="G23" i="7" l="1"/>
  <c r="G16" i="7"/>
  <c r="G18" i="7" s="1"/>
  <c r="F18" i="7"/>
  <c r="D22" i="7"/>
  <c r="D16" i="7"/>
  <c r="D17" i="7" s="1"/>
  <c r="D21" i="7"/>
  <c r="G22" i="7"/>
  <c r="D23" i="7"/>
  <c r="F15" i="7"/>
  <c r="F17" i="7" s="1"/>
  <c r="E15" i="7"/>
  <c r="G15" i="7"/>
  <c r="E18" i="7"/>
  <c r="D18" i="7" l="1"/>
  <c r="E17" i="7"/>
  <c r="G17" i="7"/>
</calcChain>
</file>

<file path=xl/sharedStrings.xml><?xml version="1.0" encoding="utf-8"?>
<sst xmlns="http://schemas.openxmlformats.org/spreadsheetml/2006/main" count="127" uniqueCount="98">
  <si>
    <t>Months</t>
  </si>
  <si>
    <t>SocI</t>
  </si>
  <si>
    <t>Scenary</t>
  </si>
  <si>
    <t>Sector / Strategy</t>
  </si>
  <si>
    <t>Serie</t>
  </si>
  <si>
    <t>BAU</t>
  </si>
  <si>
    <t>P</t>
  </si>
  <si>
    <t>W</t>
  </si>
  <si>
    <t>Max BAI</t>
  </si>
  <si>
    <t>Max All</t>
  </si>
  <si>
    <t>Var. BAI</t>
  </si>
  <si>
    <t>Var. BAU</t>
  </si>
  <si>
    <t>EcoI</t>
  </si>
  <si>
    <t>BAI-P</t>
  </si>
  <si>
    <t>BAI-W</t>
  </si>
  <si>
    <t>BAI-PM</t>
  </si>
  <si>
    <t>BAI-I</t>
  </si>
  <si>
    <t>BAI-M</t>
  </si>
  <si>
    <t>BAI-IMM</t>
  </si>
  <si>
    <t>BAV-OP-PM</t>
  </si>
  <si>
    <t>BAV-OP-IMM</t>
  </si>
  <si>
    <t>BAV-OP-AS</t>
  </si>
  <si>
    <t>BAV-PE-PM</t>
  </si>
  <si>
    <t>BAV-PE-IMM</t>
  </si>
  <si>
    <t>BAV-PE-AS</t>
  </si>
  <si>
    <t>None</t>
  </si>
  <si>
    <t>Run 1: EnviI</t>
  </si>
  <si>
    <t>Run 2: EnviI</t>
  </si>
  <si>
    <t>Run 3: EnviI</t>
  </si>
  <si>
    <t>Run 1: Ecol</t>
  </si>
  <si>
    <t>Run 2: Ecol</t>
  </si>
  <si>
    <t>Run 3: Ecol</t>
  </si>
  <si>
    <t>Run 1: SocI</t>
  </si>
  <si>
    <t>Run 2: SocI</t>
  </si>
  <si>
    <t>Run 3: SocI</t>
  </si>
  <si>
    <t>Run 1: CPI</t>
  </si>
  <si>
    <t>Run 2: CPI</t>
  </si>
  <si>
    <t>Run 3: CPI</t>
  </si>
  <si>
    <t>OP</t>
  </si>
  <si>
    <t>PE</t>
  </si>
  <si>
    <t>BAU Envi</t>
  </si>
  <si>
    <t>OP Envi</t>
  </si>
  <si>
    <t>PE Envi</t>
  </si>
  <si>
    <t>BAU Ecol</t>
  </si>
  <si>
    <t>OP Ecol</t>
  </si>
  <si>
    <t>PE Ecol</t>
  </si>
  <si>
    <t>BAU SocI</t>
  </si>
  <si>
    <t>OP SocI</t>
  </si>
  <si>
    <t>PE SocI</t>
  </si>
  <si>
    <t>BAU CPI</t>
  </si>
  <si>
    <t>OP CPI</t>
  </si>
  <si>
    <t>PE CPI</t>
  </si>
  <si>
    <t>Run 4: EnviI</t>
  </si>
  <si>
    <t>Run 4: Ecol</t>
  </si>
  <si>
    <t>Run 4: SocI</t>
  </si>
  <si>
    <t>Run 4: CPI</t>
  </si>
  <si>
    <t>Run 5: EnviI</t>
  </si>
  <si>
    <t>Run 5: Ecol</t>
  </si>
  <si>
    <t>Run 5: SocI</t>
  </si>
  <si>
    <t>Run 5: CPI</t>
  </si>
  <si>
    <t>PW</t>
  </si>
  <si>
    <t>BAU EnviI</t>
  </si>
  <si>
    <t>BAU-P EnviI</t>
  </si>
  <si>
    <t>BAU-W EnviI</t>
  </si>
  <si>
    <t>BAU-PW EnviI</t>
  </si>
  <si>
    <t>BAU-P Ecol</t>
  </si>
  <si>
    <t>BAU-W Ecol</t>
  </si>
  <si>
    <t>BAU-PW Ecol</t>
  </si>
  <si>
    <t>BAU-P SocI</t>
  </si>
  <si>
    <t>BAU-W SocI</t>
  </si>
  <si>
    <t>BAU-PW SocI</t>
  </si>
  <si>
    <t>BAU-P CPI</t>
  </si>
  <si>
    <t>BAU-W CPI</t>
  </si>
  <si>
    <t>BAU-PW CPI</t>
  </si>
  <si>
    <t>OP-P EnviI</t>
  </si>
  <si>
    <t>OP-W EnviI</t>
  </si>
  <si>
    <t>OP-PW EnviI</t>
  </si>
  <si>
    <t>OP-P Ecol</t>
  </si>
  <si>
    <t>OP-W Ecol</t>
  </si>
  <si>
    <t>OP-PW Ecol</t>
  </si>
  <si>
    <t>OP-P SocI</t>
  </si>
  <si>
    <t>OP-W SocI</t>
  </si>
  <si>
    <t>OP-PW SocI</t>
  </si>
  <si>
    <t>OP-P CPI</t>
  </si>
  <si>
    <t>OP-W CPI</t>
  </si>
  <si>
    <t>OP-PW CPI</t>
  </si>
  <si>
    <t>PE-P EnviI</t>
  </si>
  <si>
    <t>PE-W EnviI</t>
  </si>
  <si>
    <t>PE-PW EnviI</t>
  </si>
  <si>
    <t>PE-P Ecol</t>
  </si>
  <si>
    <t>PE-W Ecol</t>
  </si>
  <si>
    <t>PE-PW Ecol</t>
  </si>
  <si>
    <t>PE-P SocI</t>
  </si>
  <si>
    <t>PE-W SocI</t>
  </si>
  <si>
    <t>PE-PW SocI</t>
  </si>
  <si>
    <t>PE-P CPI</t>
  </si>
  <si>
    <t>PE-W CPI</t>
  </si>
  <si>
    <t>PE-PW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</si>
</sst>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.000000000000000%"/>
    <numFmt numFmtId="166" formatCode="0.0000%"/>
    <numFmt numFmtId="167" formatCode="#,##0.00\ &quot;%&quot;"/>
    <numFmt numFmtId="168" formatCode="0.000"/>
    <numFmt numFmtId="169" formatCode="_-* #,##0.000_-;\-* #,##0.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1" applyNumberFormat="1" applyFont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168" fontId="0" fillId="0" borderId="0" xfId="1" applyNumberFormat="1" applyFont="1"/>
    <xf numFmtId="169" fontId="0" fillId="0" borderId="0" xfId="2" applyNumberFormat="1" applyFont="1" applyFill="1" applyAlignment="1">
      <alignment horizontal="center" vertical="center"/>
    </xf>
    <xf numFmtId="169" fontId="0" fillId="0" borderId="0" xfId="2" applyNumberFormat="1" applyFont="1" applyAlignment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Environmental</a:t>
            </a:r>
            <a:r>
              <a:rPr lang="en-US" baseline="0"/>
              <a:t> Index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BAU!$B$2:$B$62</c:f>
              <c:numCache>
                <c:formatCode>#,##0.00\ "%"</c:formatCode>
                <c:ptCount val="61"/>
                <c:pt idx="0">
                  <c:v>74.494774371899993</c:v>
                </c:pt>
                <c:pt idx="1">
                  <c:v>71.1300234964</c:v>
                </c:pt>
                <c:pt idx="2">
                  <c:v>65.901706906200005</c:v>
                </c:pt>
                <c:pt idx="3">
                  <c:v>56.445038898</c:v>
                </c:pt>
                <c:pt idx="4">
                  <c:v>59.386145601599999</c:v>
                </c:pt>
                <c:pt idx="5">
                  <c:v>61.910833179599997</c:v>
                </c:pt>
                <c:pt idx="6">
                  <c:v>63.27808967</c:v>
                </c:pt>
                <c:pt idx="7">
                  <c:v>64.594435232400002</c:v>
                </c:pt>
                <c:pt idx="8">
                  <c:v>65.084609649699999</c:v>
                </c:pt>
                <c:pt idx="9">
                  <c:v>61.6602332967</c:v>
                </c:pt>
                <c:pt idx="10">
                  <c:v>61.243471204099997</c:v>
                </c:pt>
                <c:pt idx="11">
                  <c:v>61.573751769600001</c:v>
                </c:pt>
                <c:pt idx="12">
                  <c:v>61.947284865299999</c:v>
                </c:pt>
                <c:pt idx="13">
                  <c:v>62.1446963486</c:v>
                </c:pt>
                <c:pt idx="14">
                  <c:v>62.152043654499998</c:v>
                </c:pt>
                <c:pt idx="15">
                  <c:v>62.031386534399999</c:v>
                </c:pt>
                <c:pt idx="16">
                  <c:v>61.855801117600002</c:v>
                </c:pt>
                <c:pt idx="17">
                  <c:v>61.680861383699998</c:v>
                </c:pt>
                <c:pt idx="18">
                  <c:v>61.537368939099998</c:v>
                </c:pt>
                <c:pt idx="19">
                  <c:v>61.4347600997</c:v>
                </c:pt>
                <c:pt idx="20">
                  <c:v>61.368303291399997</c:v>
                </c:pt>
                <c:pt idx="21">
                  <c:v>61.326299558700001</c:v>
                </c:pt>
                <c:pt idx="22">
                  <c:v>61.295652200500001</c:v>
                </c:pt>
                <c:pt idx="23">
                  <c:v>61.2653936492</c:v>
                </c:pt>
                <c:pt idx="24">
                  <c:v>61.228342310999999</c:v>
                </c:pt>
                <c:pt idx="25">
                  <c:v>61.181310539099997</c:v>
                </c:pt>
                <c:pt idx="26">
                  <c:v>61.124371275000001</c:v>
                </c:pt>
                <c:pt idx="27">
                  <c:v>61.0596789493</c:v>
                </c:pt>
                <c:pt idx="28">
                  <c:v>60.990253365400001</c:v>
                </c:pt>
                <c:pt idx="29">
                  <c:v>60.9190008717</c:v>
                </c:pt>
                <c:pt idx="30">
                  <c:v>60.848101759400002</c:v>
                </c:pt>
                <c:pt idx="31">
                  <c:v>60.778769627099997</c:v>
                </c:pt>
                <c:pt idx="32">
                  <c:v>60.7113065765</c:v>
                </c:pt>
                <c:pt idx="33">
                  <c:v>60.645340913699997</c:v>
                </c:pt>
                <c:pt idx="34">
                  <c:v>60.580133720200003</c:v>
                </c:pt>
                <c:pt idx="35">
                  <c:v>60.514864378799999</c:v>
                </c:pt>
                <c:pt idx="36">
                  <c:v>60.448839773800003</c:v>
                </c:pt>
                <c:pt idx="37">
                  <c:v>60.381606699099997</c:v>
                </c:pt>
                <c:pt idx="38">
                  <c:v>60.312974754899997</c:v>
                </c:pt>
                <c:pt idx="39">
                  <c:v>60.242974147699996</c:v>
                </c:pt>
                <c:pt idx="40">
                  <c:v>60.171779059099997</c:v>
                </c:pt>
                <c:pt idx="41">
                  <c:v>60.0996247418</c:v>
                </c:pt>
                <c:pt idx="42">
                  <c:v>60.026738614999999</c:v>
                </c:pt>
                <c:pt idx="43">
                  <c:v>59.953295862799997</c:v>
                </c:pt>
                <c:pt idx="44">
                  <c:v>59.8794011747</c:v>
                </c:pt>
                <c:pt idx="45">
                  <c:v>59.805091967700001</c:v>
                </c:pt>
                <c:pt idx="46">
                  <c:v>59.730355250899997</c:v>
                </c:pt>
                <c:pt idx="47">
                  <c:v>59.655149887699999</c:v>
                </c:pt>
                <c:pt idx="48">
                  <c:v>59.579427558500001</c:v>
                </c:pt>
                <c:pt idx="49">
                  <c:v>59.503148231700003</c:v>
                </c:pt>
                <c:pt idx="50">
                  <c:v>59.426288549200002</c:v>
                </c:pt>
                <c:pt idx="51">
                  <c:v>59.348843623199997</c:v>
                </c:pt>
                <c:pt idx="52">
                  <c:v>59.270824028600003</c:v>
                </c:pt>
                <c:pt idx="53">
                  <c:v>59.192250246299999</c:v>
                </c:pt>
                <c:pt idx="54">
                  <c:v>59.113146627699997</c:v>
                </c:pt>
                <c:pt idx="55">
                  <c:v>59.033536373399997</c:v>
                </c:pt>
                <c:pt idx="56">
                  <c:v>58.953438301799999</c:v>
                </c:pt>
                <c:pt idx="57">
                  <c:v>58.872865532299997</c:v>
                </c:pt>
                <c:pt idx="58">
                  <c:v>58.791825745799997</c:v>
                </c:pt>
                <c:pt idx="59">
                  <c:v>58.710322448299998</c:v>
                </c:pt>
                <c:pt idx="60">
                  <c:v>58.628356634100001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F-494E-8367-B250C3C9A77C}"/>
            </c:ext>
          </c:extLst>
        </c:ser>
        <c:ser>
          <c:idx val="1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BAU!$C$2:$C$62</c:f>
              <c:numCache>
                <c:formatCode>#,##0.00\ "%"</c:formatCode>
                <c:ptCount val="61"/>
                <c:pt idx="0">
                  <c:v>74.514177134899995</c:v>
                </c:pt>
                <c:pt idx="1">
                  <c:v>70.572174731800004</c:v>
                </c:pt>
                <c:pt idx="2">
                  <c:v>66.791613549000004</c:v>
                </c:pt>
                <c:pt idx="3">
                  <c:v>56.4496242568</c:v>
                </c:pt>
                <c:pt idx="4">
                  <c:v>59.458033797399999</c:v>
                </c:pt>
                <c:pt idx="5">
                  <c:v>62.089938066599998</c:v>
                </c:pt>
                <c:pt idx="6">
                  <c:v>63.669643735800001</c:v>
                </c:pt>
                <c:pt idx="7">
                  <c:v>66.110612062900003</c:v>
                </c:pt>
                <c:pt idx="8">
                  <c:v>66.002454999600005</c:v>
                </c:pt>
                <c:pt idx="9">
                  <c:v>61.844027816199997</c:v>
                </c:pt>
                <c:pt idx="10">
                  <c:v>61.722292693900002</c:v>
                </c:pt>
                <c:pt idx="11">
                  <c:v>62.331202190299997</c:v>
                </c:pt>
                <c:pt idx="12">
                  <c:v>62.865886464799999</c:v>
                </c:pt>
                <c:pt idx="13">
                  <c:v>63.128615549700001</c:v>
                </c:pt>
                <c:pt idx="14">
                  <c:v>63.157049648099999</c:v>
                </c:pt>
                <c:pt idx="15">
                  <c:v>63.109848311199997</c:v>
                </c:pt>
                <c:pt idx="16">
                  <c:v>63.260705038499999</c:v>
                </c:pt>
                <c:pt idx="17">
                  <c:v>63.063947461300003</c:v>
                </c:pt>
                <c:pt idx="18">
                  <c:v>62.792315896799998</c:v>
                </c:pt>
                <c:pt idx="19">
                  <c:v>62.835828825100002</c:v>
                </c:pt>
                <c:pt idx="20">
                  <c:v>62.952408488099998</c:v>
                </c:pt>
                <c:pt idx="21">
                  <c:v>63.077139405399997</c:v>
                </c:pt>
                <c:pt idx="22">
                  <c:v>63.184330347299998</c:v>
                </c:pt>
                <c:pt idx="23">
                  <c:v>63.268200999100003</c:v>
                </c:pt>
                <c:pt idx="24">
                  <c:v>63.332598760000003</c:v>
                </c:pt>
                <c:pt idx="25">
                  <c:v>63.384835058599997</c:v>
                </c:pt>
                <c:pt idx="26">
                  <c:v>63.432164751400002</c:v>
                </c:pt>
                <c:pt idx="27">
                  <c:v>63.480093938099998</c:v>
                </c:pt>
                <c:pt idx="28">
                  <c:v>63.531881994499997</c:v>
                </c:pt>
                <c:pt idx="29">
                  <c:v>63.588740999899997</c:v>
                </c:pt>
                <c:pt idx="30">
                  <c:v>63.650370437699998</c:v>
                </c:pt>
                <c:pt idx="31">
                  <c:v>63.715582436799998</c:v>
                </c:pt>
                <c:pt idx="32">
                  <c:v>63.782865836399999</c:v>
                </c:pt>
                <c:pt idx="33">
                  <c:v>63.850808093700003</c:v>
                </c:pt>
                <c:pt idx="34">
                  <c:v>63.918347195199999</c:v>
                </c:pt>
                <c:pt idx="35">
                  <c:v>63.984864424100003</c:v>
                </c:pt>
                <c:pt idx="36">
                  <c:v>64.050153974599993</c:v>
                </c:pt>
                <c:pt idx="37">
                  <c:v>64.114317123800006</c:v>
                </c:pt>
                <c:pt idx="38">
                  <c:v>64.177628200399994</c:v>
                </c:pt>
                <c:pt idx="39">
                  <c:v>64.240409999600004</c:v>
                </c:pt>
                <c:pt idx="40">
                  <c:v>64.302941954399998</c:v>
                </c:pt>
                <c:pt idx="41">
                  <c:v>64.365409683400003</c:v>
                </c:pt>
                <c:pt idx="42">
                  <c:v>64.427892772899995</c:v>
                </c:pt>
                <c:pt idx="43">
                  <c:v>64.490380447700005</c:v>
                </c:pt>
                <c:pt idx="44">
                  <c:v>64.552802225799994</c:v>
                </c:pt>
                <c:pt idx="45">
                  <c:v>64.6150617455</c:v>
                </c:pt>
                <c:pt idx="46">
                  <c:v>64.677065243100003</c:v>
                </c:pt>
                <c:pt idx="47">
                  <c:v>64.738740199000006</c:v>
                </c:pt>
                <c:pt idx="48">
                  <c:v>64.800043326299999</c:v>
                </c:pt>
                <c:pt idx="49">
                  <c:v>64.860959692799995</c:v>
                </c:pt>
                <c:pt idx="50">
                  <c:v>64.921496112900002</c:v>
                </c:pt>
                <c:pt idx="51">
                  <c:v>64.981672154799995</c:v>
                </c:pt>
                <c:pt idx="52">
                  <c:v>65.041511511699994</c:v>
                </c:pt>
                <c:pt idx="53">
                  <c:v>65.101035486399994</c:v>
                </c:pt>
                <c:pt idx="54">
                  <c:v>65.160259287599999</c:v>
                </c:pt>
                <c:pt idx="55">
                  <c:v>65.219190988899996</c:v>
                </c:pt>
                <c:pt idx="56">
                  <c:v>65.277832466500001</c:v>
                </c:pt>
                <c:pt idx="57">
                  <c:v>65.336181433500002</c:v>
                </c:pt>
                <c:pt idx="58">
                  <c:v>65.394233743699999</c:v>
                </c:pt>
                <c:pt idx="59">
                  <c:v>65.4519853611</c:v>
                </c:pt>
                <c:pt idx="60">
                  <c:v>65.509433669200007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B6-4BD3-8CE0-5D1DE055BF8B}"/>
            </c:ext>
          </c:extLst>
        </c:ser>
        <c:ser>
          <c:idx val="2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BAU!$D$2:$D$62</c:f>
              <c:numCache>
                <c:formatCode>#,##0.00\ "%"</c:formatCode>
                <c:ptCount val="61"/>
                <c:pt idx="0">
                  <c:v>74.484846636599997</c:v>
                </c:pt>
                <c:pt idx="1">
                  <c:v>71.413093458099993</c:v>
                </c:pt>
                <c:pt idx="2">
                  <c:v>65.468801768000006</c:v>
                </c:pt>
                <c:pt idx="3">
                  <c:v>56.427692371100001</c:v>
                </c:pt>
                <c:pt idx="4">
                  <c:v>59.335473351899999</c:v>
                </c:pt>
                <c:pt idx="5">
                  <c:v>61.809644001800002</c:v>
                </c:pt>
                <c:pt idx="6">
                  <c:v>63.068767284400003</c:v>
                </c:pt>
                <c:pt idx="7">
                  <c:v>63.729121818599999</c:v>
                </c:pt>
                <c:pt idx="8">
                  <c:v>64.461193792700001</c:v>
                </c:pt>
                <c:pt idx="9">
                  <c:v>61.569657481500002</c:v>
                </c:pt>
                <c:pt idx="10">
                  <c:v>61.013921142299999</c:v>
                </c:pt>
                <c:pt idx="11">
                  <c:v>61.172242403600002</c:v>
                </c:pt>
                <c:pt idx="12">
                  <c:v>61.4355617728</c:v>
                </c:pt>
                <c:pt idx="13">
                  <c:v>61.5846518432</c:v>
                </c:pt>
                <c:pt idx="14">
                  <c:v>61.575868476499998</c:v>
                </c:pt>
                <c:pt idx="15">
                  <c:v>61.442061492800001</c:v>
                </c:pt>
                <c:pt idx="16">
                  <c:v>61.238535088600003</c:v>
                </c:pt>
                <c:pt idx="17">
                  <c:v>61.015065598</c:v>
                </c:pt>
                <c:pt idx="18">
                  <c:v>60.804858470500001</c:v>
                </c:pt>
                <c:pt idx="19">
                  <c:v>60.623539813900003</c:v>
                </c:pt>
                <c:pt idx="20">
                  <c:v>60.472983167499997</c:v>
                </c:pt>
                <c:pt idx="21">
                  <c:v>60.346587220799996</c:v>
                </c:pt>
                <c:pt idx="22">
                  <c:v>60.234149415700003</c:v>
                </c:pt>
                <c:pt idx="23">
                  <c:v>60.125519199800003</c:v>
                </c:pt>
                <c:pt idx="24">
                  <c:v>60.012821547100003</c:v>
                </c:pt>
                <c:pt idx="25">
                  <c:v>59.8913724688</c:v>
                </c:pt>
                <c:pt idx="26">
                  <c:v>59.759585346500003</c:v>
                </c:pt>
                <c:pt idx="27">
                  <c:v>59.618244225300003</c:v>
                </c:pt>
                <c:pt idx="28">
                  <c:v>59.469515143599999</c:v>
                </c:pt>
                <c:pt idx="29">
                  <c:v>59.3159957457</c:v>
                </c:pt>
                <c:pt idx="30">
                  <c:v>59.159994897799997</c:v>
                </c:pt>
                <c:pt idx="31">
                  <c:v>59.003120408299999</c:v>
                </c:pt>
                <c:pt idx="32">
                  <c:v>58.846160245500002</c:v>
                </c:pt>
                <c:pt idx="33">
                  <c:v>58.689184198600003</c:v>
                </c:pt>
                <c:pt idx="34">
                  <c:v>58.531769866700003</c:v>
                </c:pt>
                <c:pt idx="35">
                  <c:v>58.373262116799999</c:v>
                </c:pt>
                <c:pt idx="36">
                  <c:v>58.212998093400003</c:v>
                </c:pt>
                <c:pt idx="37">
                  <c:v>58.0504597694</c:v>
                </c:pt>
                <c:pt idx="38">
                  <c:v>57.885344332599999</c:v>
                </c:pt>
                <c:pt idx="39">
                  <c:v>57.717563870799999</c:v>
                </c:pt>
                <c:pt idx="40">
                  <c:v>57.547197597599997</c:v>
                </c:pt>
                <c:pt idx="41">
                  <c:v>57.374422703400001</c:v>
                </c:pt>
                <c:pt idx="42">
                  <c:v>57.199446076699999</c:v>
                </c:pt>
                <c:pt idx="43">
                  <c:v>57.022451648900002</c:v>
                </c:pt>
                <c:pt idx="44">
                  <c:v>56.843569819000002</c:v>
                </c:pt>
                <c:pt idx="45">
                  <c:v>56.662868420999999</c:v>
                </c:pt>
                <c:pt idx="46">
                  <c:v>56.480360124599997</c:v>
                </c:pt>
                <c:pt idx="47">
                  <c:v>56.296019222300004</c:v>
                </c:pt>
                <c:pt idx="48">
                  <c:v>56.109801014699997</c:v>
                </c:pt>
                <c:pt idx="49">
                  <c:v>55.921658668699997</c:v>
                </c:pt>
                <c:pt idx="50">
                  <c:v>55.731554676899997</c:v>
                </c:pt>
                <c:pt idx="51">
                  <c:v>55.5394661805</c:v>
                </c:pt>
                <c:pt idx="52">
                  <c:v>55.3453850187</c:v>
                </c:pt>
                <c:pt idx="53">
                  <c:v>55.149314243299997</c:v>
                </c:pt>
                <c:pt idx="54">
                  <c:v>54.9512630483</c:v>
                </c:pt>
                <c:pt idx="55">
                  <c:v>54.751241765300001</c:v>
                </c:pt>
                <c:pt idx="56">
                  <c:v>54.549258021599996</c:v>
                </c:pt>
                <c:pt idx="57">
                  <c:v>54.3453145346</c:v>
                </c:pt>
                <c:pt idx="58">
                  <c:v>54.1394085027</c:v>
                </c:pt>
                <c:pt idx="59">
                  <c:v>53.931532209700002</c:v>
                </c:pt>
                <c:pt idx="60">
                  <c:v>53.721674321099997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B6-4BD3-8CE0-5D1DE055B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630400"/>
        <c:axId val="242634976"/>
      </c:scatterChart>
      <c:valAx>
        <c:axId val="242630400"/>
        <c:scaling>
          <c:orientation val="minMax"/>
          <c:max val="6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2634976"/>
        <c:crosses val="autoZero"/>
        <c:crossBetween val="midCat"/>
      </c:valAx>
      <c:valAx>
        <c:axId val="24263497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263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BAU!$H$2:$H$62</c:f>
              <c:numCache>
                <c:formatCode>#,##0.00\ "%"</c:formatCode>
                <c:ptCount val="61"/>
                <c:pt idx="0">
                  <c:v>61.108540746000003</c:v>
                </c:pt>
                <c:pt idx="1">
                  <c:v>65.087398777999994</c:v>
                </c:pt>
                <c:pt idx="2">
                  <c:v>67.508311168500001</c:v>
                </c:pt>
                <c:pt idx="3">
                  <c:v>68.328551517700006</c:v>
                </c:pt>
                <c:pt idx="4">
                  <c:v>68.520531676900006</c:v>
                </c:pt>
                <c:pt idx="5">
                  <c:v>68.716196973799995</c:v>
                </c:pt>
                <c:pt idx="6">
                  <c:v>69.010421140199995</c:v>
                </c:pt>
                <c:pt idx="7">
                  <c:v>69.379572323999994</c:v>
                </c:pt>
                <c:pt idx="8">
                  <c:v>69.716856656100006</c:v>
                </c:pt>
                <c:pt idx="9">
                  <c:v>69.776944775800004</c:v>
                </c:pt>
                <c:pt idx="10">
                  <c:v>69.6133572034</c:v>
                </c:pt>
                <c:pt idx="11">
                  <c:v>69.414599266099998</c:v>
                </c:pt>
                <c:pt idx="12">
                  <c:v>69.257893729200006</c:v>
                </c:pt>
                <c:pt idx="13">
                  <c:v>69.164060130099998</c:v>
                </c:pt>
                <c:pt idx="14">
                  <c:v>69.127622569600007</c:v>
                </c:pt>
                <c:pt idx="15">
                  <c:v>69.131332047900003</c:v>
                </c:pt>
                <c:pt idx="16">
                  <c:v>69.155276563499996</c:v>
                </c:pt>
                <c:pt idx="17">
                  <c:v>69.182473880000003</c:v>
                </c:pt>
                <c:pt idx="18">
                  <c:v>69.201576706599994</c:v>
                </c:pt>
                <c:pt idx="19">
                  <c:v>69.207358013800004</c:v>
                </c:pt>
                <c:pt idx="20">
                  <c:v>69.199721895400003</c:v>
                </c:pt>
                <c:pt idx="21">
                  <c:v>69.181955772199998</c:v>
                </c:pt>
                <c:pt idx="22">
                  <c:v>69.158834447900006</c:v>
                </c:pt>
                <c:pt idx="23">
                  <c:v>69.1350257924</c:v>
                </c:pt>
                <c:pt idx="24">
                  <c:v>69.114050028700007</c:v>
                </c:pt>
                <c:pt idx="25">
                  <c:v>69.097846022699997</c:v>
                </c:pt>
                <c:pt idx="26">
                  <c:v>69.086842504000003</c:v>
                </c:pt>
                <c:pt idx="27">
                  <c:v>69.080348192900004</c:v>
                </c:pt>
                <c:pt idx="28">
                  <c:v>69.077063355899995</c:v>
                </c:pt>
                <c:pt idx="29">
                  <c:v>69.075555382700003</c:v>
                </c:pt>
                <c:pt idx="30">
                  <c:v>69.074604048200001</c:v>
                </c:pt>
                <c:pt idx="31">
                  <c:v>69.073384312599998</c:v>
                </c:pt>
                <c:pt idx="32">
                  <c:v>69.071501674199993</c:v>
                </c:pt>
                <c:pt idx="33">
                  <c:v>69.0689223121</c:v>
                </c:pt>
                <c:pt idx="34">
                  <c:v>69.065848862300001</c:v>
                </c:pt>
                <c:pt idx="35">
                  <c:v>69.0625873523</c:v>
                </c:pt>
                <c:pt idx="36">
                  <c:v>69.059437420600005</c:v>
                </c:pt>
                <c:pt idx="37">
                  <c:v>69.056622025999999</c:v>
                </c:pt>
                <c:pt idx="38">
                  <c:v>69.054258694200001</c:v>
                </c:pt>
                <c:pt idx="39">
                  <c:v>69.052364482100003</c:v>
                </c:pt>
                <c:pt idx="40">
                  <c:v>69.050882038599994</c:v>
                </c:pt>
                <c:pt idx="41">
                  <c:v>69.049713756800003</c:v>
                </c:pt>
                <c:pt idx="42">
                  <c:v>69.048753659599996</c:v>
                </c:pt>
                <c:pt idx="43">
                  <c:v>69.0479106879</c:v>
                </c:pt>
                <c:pt idx="44">
                  <c:v>69.047121127200001</c:v>
                </c:pt>
                <c:pt idx="45">
                  <c:v>69.046351078800001</c:v>
                </c:pt>
                <c:pt idx="46">
                  <c:v>69.045591775199995</c:v>
                </c:pt>
                <c:pt idx="47">
                  <c:v>69.044851172099996</c:v>
                </c:pt>
                <c:pt idx="48">
                  <c:v>69.044144906200003</c:v>
                </c:pt>
                <c:pt idx="49">
                  <c:v>69.043488805099997</c:v>
                </c:pt>
                <c:pt idx="50">
                  <c:v>69.042894052099996</c:v>
                </c:pt>
                <c:pt idx="51">
                  <c:v>69.0423651535</c:v>
                </c:pt>
                <c:pt idx="52">
                  <c:v>69.041900187400003</c:v>
                </c:pt>
                <c:pt idx="53">
                  <c:v>69.041492493199996</c:v>
                </c:pt>
                <c:pt idx="54">
                  <c:v>69.041132924300001</c:v>
                </c:pt>
                <c:pt idx="55">
                  <c:v>69.040811968900002</c:v>
                </c:pt>
                <c:pt idx="56">
                  <c:v>69.040521303700004</c:v>
                </c:pt>
                <c:pt idx="57">
                  <c:v>69.040254625200006</c:v>
                </c:pt>
                <c:pt idx="58">
                  <c:v>69.040007811600006</c:v>
                </c:pt>
                <c:pt idx="59">
                  <c:v>69.039778601899997</c:v>
                </c:pt>
                <c:pt idx="60">
                  <c:v>69.039566020899997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F-494E-8367-B250C3C9A77C}"/>
            </c:ext>
          </c:extLst>
        </c:ser>
        <c:ser>
          <c:idx val="1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BAU!$I$2:$I$62</c:f>
              <c:numCache>
                <c:formatCode>#,##0.00\ "%"</c:formatCode>
                <c:ptCount val="61"/>
                <c:pt idx="0">
                  <c:v>61.117133497499999</c:v>
                </c:pt>
                <c:pt idx="1">
                  <c:v>65.0959547195</c:v>
                </c:pt>
                <c:pt idx="2">
                  <c:v>67.557895475099997</c:v>
                </c:pt>
                <c:pt idx="3">
                  <c:v>68.422168557000006</c:v>
                </c:pt>
                <c:pt idx="4">
                  <c:v>68.627940751599994</c:v>
                </c:pt>
                <c:pt idx="5">
                  <c:v>68.838495086899997</c:v>
                </c:pt>
                <c:pt idx="6">
                  <c:v>69.170718933000003</c:v>
                </c:pt>
                <c:pt idx="7">
                  <c:v>69.611310957499995</c:v>
                </c:pt>
                <c:pt idx="8">
                  <c:v>69.991042500199995</c:v>
                </c:pt>
                <c:pt idx="9">
                  <c:v>70.010435161800004</c:v>
                </c:pt>
                <c:pt idx="10">
                  <c:v>69.806237622699996</c:v>
                </c:pt>
                <c:pt idx="11">
                  <c:v>69.606333841099996</c:v>
                </c:pt>
                <c:pt idx="12">
                  <c:v>69.484649383100006</c:v>
                </c:pt>
                <c:pt idx="13">
                  <c:v>69.446503905300005</c:v>
                </c:pt>
                <c:pt idx="14">
                  <c:v>69.470739819499997</c:v>
                </c:pt>
                <c:pt idx="15">
                  <c:v>69.533249307800006</c:v>
                </c:pt>
                <c:pt idx="16">
                  <c:v>69.612897048700006</c:v>
                </c:pt>
                <c:pt idx="17">
                  <c:v>69.677566297599995</c:v>
                </c:pt>
                <c:pt idx="18">
                  <c:v>69.692012295500007</c:v>
                </c:pt>
                <c:pt idx="19">
                  <c:v>69.674775110400006</c:v>
                </c:pt>
                <c:pt idx="20">
                  <c:v>69.6457980582</c:v>
                </c:pt>
                <c:pt idx="21">
                  <c:v>69.616166373900001</c:v>
                </c:pt>
                <c:pt idx="22">
                  <c:v>69.592340779200001</c:v>
                </c:pt>
                <c:pt idx="23">
                  <c:v>69.577228948400005</c:v>
                </c:pt>
                <c:pt idx="24">
                  <c:v>69.570935426999995</c:v>
                </c:pt>
                <c:pt idx="25">
                  <c:v>69.571699580800001</c:v>
                </c:pt>
                <c:pt idx="26">
                  <c:v>69.576892049199998</c:v>
                </c:pt>
                <c:pt idx="27">
                  <c:v>69.583862794699996</c:v>
                </c:pt>
                <c:pt idx="28">
                  <c:v>69.590511860299998</c:v>
                </c:pt>
                <c:pt idx="29">
                  <c:v>69.595553030399998</c:v>
                </c:pt>
                <c:pt idx="30">
                  <c:v>69.598515659699999</c:v>
                </c:pt>
                <c:pt idx="31">
                  <c:v>69.599570417699994</c:v>
                </c:pt>
                <c:pt idx="32">
                  <c:v>69.5992739589</c:v>
                </c:pt>
                <c:pt idx="33">
                  <c:v>69.598314044000006</c:v>
                </c:pt>
                <c:pt idx="34">
                  <c:v>69.5973102942</c:v>
                </c:pt>
                <c:pt idx="35">
                  <c:v>69.596695928499997</c:v>
                </c:pt>
                <c:pt idx="36">
                  <c:v>69.596679931799997</c:v>
                </c:pt>
                <c:pt idx="37">
                  <c:v>69.597271593000002</c:v>
                </c:pt>
                <c:pt idx="38">
                  <c:v>69.598341499599996</c:v>
                </c:pt>
                <c:pt idx="39">
                  <c:v>69.599693531</c:v>
                </c:pt>
                <c:pt idx="40">
                  <c:v>69.601128345299998</c:v>
                </c:pt>
                <c:pt idx="41">
                  <c:v>69.602487143700003</c:v>
                </c:pt>
                <c:pt idx="42">
                  <c:v>69.603672520100005</c:v>
                </c:pt>
                <c:pt idx="43">
                  <c:v>69.604649275599996</c:v>
                </c:pt>
                <c:pt idx="44">
                  <c:v>69.605431527199997</c:v>
                </c:pt>
                <c:pt idx="45">
                  <c:v>69.606063374399994</c:v>
                </c:pt>
                <c:pt idx="46">
                  <c:v>69.606599431199996</c:v>
                </c:pt>
                <c:pt idx="47">
                  <c:v>69.607089506400001</c:v>
                </c:pt>
                <c:pt idx="48">
                  <c:v>69.607569412900006</c:v>
                </c:pt>
                <c:pt idx="49">
                  <c:v>69.608057903299994</c:v>
                </c:pt>
                <c:pt idx="50">
                  <c:v>69.608558387100004</c:v>
                </c:pt>
                <c:pt idx="51">
                  <c:v>69.609063478899998</c:v>
                </c:pt>
                <c:pt idx="52">
                  <c:v>69.6095604482</c:v>
                </c:pt>
                <c:pt idx="53">
                  <c:v>69.610036071099998</c:v>
                </c:pt>
                <c:pt idx="54">
                  <c:v>69.610480011999996</c:v>
                </c:pt>
                <c:pt idx="55">
                  <c:v>69.610886467599997</c:v>
                </c:pt>
                <c:pt idx="56">
                  <c:v>69.611254277599997</c:v>
                </c:pt>
                <c:pt idx="57">
                  <c:v>69.611585975300002</c:v>
                </c:pt>
                <c:pt idx="58">
                  <c:v>69.611886330199994</c:v>
                </c:pt>
                <c:pt idx="59">
                  <c:v>69.612160866099998</c:v>
                </c:pt>
                <c:pt idx="60">
                  <c:v>69.612414686999998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EE-4DA0-95AB-0ACCE853CB36}"/>
            </c:ext>
          </c:extLst>
        </c:ser>
        <c:ser>
          <c:idx val="2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BAU!$J$2:$J$62</c:f>
              <c:numCache>
                <c:formatCode>#,##0.00\ "%"</c:formatCode>
                <c:ptCount val="61"/>
                <c:pt idx="0">
                  <c:v>61.104197171599999</c:v>
                </c:pt>
                <c:pt idx="1">
                  <c:v>65.082893761199998</c:v>
                </c:pt>
                <c:pt idx="2">
                  <c:v>67.482420877799996</c:v>
                </c:pt>
                <c:pt idx="3">
                  <c:v>68.280321058699997</c:v>
                </c:pt>
                <c:pt idx="4">
                  <c:v>68.464223845099994</c:v>
                </c:pt>
                <c:pt idx="5">
                  <c:v>68.651164752</c:v>
                </c:pt>
                <c:pt idx="6">
                  <c:v>68.925731366600004</c:v>
                </c:pt>
                <c:pt idx="7">
                  <c:v>69.257973172899995</c:v>
                </c:pt>
                <c:pt idx="8">
                  <c:v>69.563803635900001</c:v>
                </c:pt>
                <c:pt idx="9">
                  <c:v>69.643188487399996</c:v>
                </c:pt>
                <c:pt idx="10">
                  <c:v>69.508473777399999</c:v>
                </c:pt>
                <c:pt idx="11">
                  <c:v>69.318035783400006</c:v>
                </c:pt>
                <c:pt idx="12">
                  <c:v>69.147423474299998</c:v>
                </c:pt>
                <c:pt idx="13">
                  <c:v>69.025373975600004</c:v>
                </c:pt>
                <c:pt idx="14">
                  <c:v>68.955957331899995</c:v>
                </c:pt>
                <c:pt idx="15">
                  <c:v>68.929484502799994</c:v>
                </c:pt>
                <c:pt idx="16">
                  <c:v>68.930413919100005</c:v>
                </c:pt>
                <c:pt idx="17">
                  <c:v>68.943114808600001</c:v>
                </c:pt>
                <c:pt idx="18">
                  <c:v>68.955375042399993</c:v>
                </c:pt>
                <c:pt idx="19">
                  <c:v>68.959847521300006</c:v>
                </c:pt>
                <c:pt idx="20">
                  <c:v>68.953925171999998</c:v>
                </c:pt>
                <c:pt idx="21">
                  <c:v>68.938639693699997</c:v>
                </c:pt>
                <c:pt idx="22">
                  <c:v>68.917149925399997</c:v>
                </c:pt>
                <c:pt idx="23">
                  <c:v>68.893277375899999</c:v>
                </c:pt>
                <c:pt idx="24">
                  <c:v>68.870391333699999</c:v>
                </c:pt>
                <c:pt idx="25">
                  <c:v>68.850775319099995</c:v>
                </c:pt>
                <c:pt idx="26">
                  <c:v>68.835456555199997</c:v>
                </c:pt>
                <c:pt idx="27">
                  <c:v>68.824379971400006</c:v>
                </c:pt>
                <c:pt idx="28">
                  <c:v>68.816768605299998</c:v>
                </c:pt>
                <c:pt idx="29">
                  <c:v>68.811523880699994</c:v>
                </c:pt>
                <c:pt idx="30">
                  <c:v>68.807561462500004</c:v>
                </c:pt>
                <c:pt idx="31">
                  <c:v>68.804029765199999</c:v>
                </c:pt>
                <c:pt idx="32">
                  <c:v>68.800403133399996</c:v>
                </c:pt>
                <c:pt idx="33">
                  <c:v>68.796472347000005</c:v>
                </c:pt>
                <c:pt idx="34">
                  <c:v>68.792269888500002</c:v>
                </c:pt>
                <c:pt idx="35">
                  <c:v>68.787968831100002</c:v>
                </c:pt>
                <c:pt idx="36">
                  <c:v>68.783786639300004</c:v>
                </c:pt>
                <c:pt idx="37">
                  <c:v>68.779913344899995</c:v>
                </c:pt>
                <c:pt idx="38">
                  <c:v>68.776471489000002</c:v>
                </c:pt>
                <c:pt idx="39">
                  <c:v>68.773505650800004</c:v>
                </c:pt>
                <c:pt idx="40">
                  <c:v>68.770993575399999</c:v>
                </c:pt>
                <c:pt idx="41">
                  <c:v>68.7688688856</c:v>
                </c:pt>
                <c:pt idx="42">
                  <c:v>68.767046265499999</c:v>
                </c:pt>
                <c:pt idx="43">
                  <c:v>68.765442617199994</c:v>
                </c:pt>
                <c:pt idx="44">
                  <c:v>68.763990844299997</c:v>
                </c:pt>
                <c:pt idx="45">
                  <c:v>68.762645716600005</c:v>
                </c:pt>
                <c:pt idx="46">
                  <c:v>68.761383215199999</c:v>
                </c:pt>
                <c:pt idx="47">
                  <c:v>68.760195723199999</c:v>
                </c:pt>
                <c:pt idx="48">
                  <c:v>68.759085529499998</c:v>
                </c:pt>
                <c:pt idx="49">
                  <c:v>68.758058637199994</c:v>
                </c:pt>
                <c:pt idx="50">
                  <c:v>68.757120115600003</c:v>
                </c:pt>
                <c:pt idx="51">
                  <c:v>68.756271465699996</c:v>
                </c:pt>
                <c:pt idx="52">
                  <c:v>68.755509864800004</c:v>
                </c:pt>
                <c:pt idx="53">
                  <c:v>68.754828789499996</c:v>
                </c:pt>
                <c:pt idx="54">
                  <c:v>68.754219384400002</c:v>
                </c:pt>
                <c:pt idx="55">
                  <c:v>68.753672002900004</c:v>
                </c:pt>
                <c:pt idx="56">
                  <c:v>68.753177505500005</c:v>
                </c:pt>
                <c:pt idx="57">
                  <c:v>68.752728101399995</c:v>
                </c:pt>
                <c:pt idx="58">
                  <c:v>68.752317695299993</c:v>
                </c:pt>
                <c:pt idx="59">
                  <c:v>68.751941824799999</c:v>
                </c:pt>
                <c:pt idx="60">
                  <c:v>68.751597335200003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EE-4DA0-95AB-0ACCE853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630400"/>
        <c:axId val="242634976"/>
      </c:scatterChart>
      <c:valAx>
        <c:axId val="242630400"/>
        <c:scaling>
          <c:orientation val="minMax"/>
          <c:max val="6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2634976"/>
        <c:crosses val="autoZero"/>
        <c:crossBetween val="midCat"/>
      </c:valAx>
      <c:valAx>
        <c:axId val="242634976"/>
        <c:scaling>
          <c:orientation val="minMax"/>
          <c:max val="71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263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BAU!$E$2:$E$62</c:f>
              <c:numCache>
                <c:formatCode>#,##0.00\ "%"</c:formatCode>
                <c:ptCount val="61"/>
                <c:pt idx="0">
                  <c:v>5.3268111360699999</c:v>
                </c:pt>
                <c:pt idx="1">
                  <c:v>22.021274960500001</c:v>
                </c:pt>
                <c:pt idx="2">
                  <c:v>31.540819007700001</c:v>
                </c:pt>
                <c:pt idx="3">
                  <c:v>19.693233239200001</c:v>
                </c:pt>
                <c:pt idx="4">
                  <c:v>11.8402886685</c:v>
                </c:pt>
                <c:pt idx="5">
                  <c:v>9.2288441023699992</c:v>
                </c:pt>
                <c:pt idx="6">
                  <c:v>8.1419025253800008</c:v>
                </c:pt>
                <c:pt idx="7">
                  <c:v>8.5348525527899994</c:v>
                </c:pt>
                <c:pt idx="8">
                  <c:v>13.158723329500001</c:v>
                </c:pt>
                <c:pt idx="9">
                  <c:v>12.3211746507</c:v>
                </c:pt>
                <c:pt idx="10">
                  <c:v>10.2255608352</c:v>
                </c:pt>
                <c:pt idx="11">
                  <c:v>9.3825826203799991</c:v>
                </c:pt>
                <c:pt idx="12">
                  <c:v>9.0116934828899993</c:v>
                </c:pt>
                <c:pt idx="13">
                  <c:v>8.8980440674099999</c:v>
                </c:pt>
                <c:pt idx="14">
                  <c:v>8.9440724635100004</c:v>
                </c:pt>
                <c:pt idx="15">
                  <c:v>9.0762331280699993</c:v>
                </c:pt>
                <c:pt idx="16">
                  <c:v>9.2340931919500004</c:v>
                </c:pt>
                <c:pt idx="17">
                  <c:v>9.3739411611999994</c:v>
                </c:pt>
                <c:pt idx="18">
                  <c:v>9.4710784205700005</c:v>
                </c:pt>
                <c:pt idx="19">
                  <c:v>9.5183623928600003</c:v>
                </c:pt>
                <c:pt idx="20">
                  <c:v>9.5218674628599995</c:v>
                </c:pt>
                <c:pt idx="21">
                  <c:v>9.4952262154400007</c:v>
                </c:pt>
                <c:pt idx="22">
                  <c:v>9.4541618067800002</c:v>
                </c:pt>
                <c:pt idx="23">
                  <c:v>9.4123231599199997</c:v>
                </c:pt>
                <c:pt idx="24">
                  <c:v>9.3789484699999992</c:v>
                </c:pt>
                <c:pt idx="25">
                  <c:v>9.3583003311299997</c:v>
                </c:pt>
                <c:pt idx="26">
                  <c:v>9.3504109352900002</c:v>
                </c:pt>
                <c:pt idx="27">
                  <c:v>9.3525192150999992</c:v>
                </c:pt>
                <c:pt idx="28">
                  <c:v>9.3606353475800006</c:v>
                </c:pt>
                <c:pt idx="29">
                  <c:v>9.3708391320299995</c:v>
                </c:pt>
                <c:pt idx="30">
                  <c:v>9.3801180209700004</c:v>
                </c:pt>
                <c:pt idx="31">
                  <c:v>9.3867199158099996</c:v>
                </c:pt>
                <c:pt idx="32">
                  <c:v>9.3901096293999995</c:v>
                </c:pt>
                <c:pt idx="33">
                  <c:v>9.3906730499699993</c:v>
                </c:pt>
                <c:pt idx="34">
                  <c:v>9.3893189331899993</c:v>
                </c:pt>
                <c:pt idx="35">
                  <c:v>9.3871002093999998</c:v>
                </c:pt>
                <c:pt idx="36">
                  <c:v>9.3849316053600003</c:v>
                </c:pt>
                <c:pt idx="37">
                  <c:v>9.3834334005900004</c:v>
                </c:pt>
                <c:pt idx="38">
                  <c:v>9.3828931926300001</c:v>
                </c:pt>
                <c:pt idx="39">
                  <c:v>9.3833141304699996</c:v>
                </c:pt>
                <c:pt idx="40">
                  <c:v>9.3845096030599997</c:v>
                </c:pt>
                <c:pt idx="41">
                  <c:v>9.3862076868400006</c:v>
                </c:pt>
                <c:pt idx="42">
                  <c:v>9.3881389906300008</c:v>
                </c:pt>
                <c:pt idx="43">
                  <c:v>9.3900941739300006</c:v>
                </c:pt>
                <c:pt idx="44">
                  <c:v>9.3919487664899997</c:v>
                </c:pt>
                <c:pt idx="45">
                  <c:v>9.3936609227200005</c:v>
                </c:pt>
                <c:pt idx="46">
                  <c:v>9.3952517887999996</c:v>
                </c:pt>
                <c:pt idx="47">
                  <c:v>9.3967787041200008</c:v>
                </c:pt>
                <c:pt idx="48">
                  <c:v>9.3983095704400004</c:v>
                </c:pt>
                <c:pt idx="49">
                  <c:v>9.3999036386399997</c:v>
                </c:pt>
                <c:pt idx="50">
                  <c:v>9.4016007683900007</c:v>
                </c:pt>
                <c:pt idx="51">
                  <c:v>9.4034186507499999</c:v>
                </c:pt>
                <c:pt idx="52">
                  <c:v>9.4053559010299992</c:v>
                </c:pt>
                <c:pt idx="53">
                  <c:v>9.4073983452499998</c:v>
                </c:pt>
                <c:pt idx="54">
                  <c:v>9.4095260279000001</c:v>
                </c:pt>
                <c:pt idx="55">
                  <c:v>9.4117191492399996</c:v>
                </c:pt>
                <c:pt idx="56">
                  <c:v>9.4139619844000002</c:v>
                </c:pt>
                <c:pt idx="57">
                  <c:v>9.4162446035199991</c:v>
                </c:pt>
                <c:pt idx="58">
                  <c:v>9.4185627578699993</c:v>
                </c:pt>
                <c:pt idx="59">
                  <c:v>9.4209165776500008</c:v>
                </c:pt>
                <c:pt idx="60">
                  <c:v>9.4233087698899993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F-494E-8367-B250C3C9A77C}"/>
            </c:ext>
          </c:extLst>
        </c:ser>
        <c:ser>
          <c:idx val="1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BAU!$F$2:$F$62</c:f>
              <c:numCache>
                <c:formatCode>#,##0.00\ "%"</c:formatCode>
                <c:ptCount val="61"/>
                <c:pt idx="0">
                  <c:v>5.2207879311400003</c:v>
                </c:pt>
                <c:pt idx="1">
                  <c:v>21.843973679800001</c:v>
                </c:pt>
                <c:pt idx="2">
                  <c:v>31.988734609800002</c:v>
                </c:pt>
                <c:pt idx="3">
                  <c:v>20.4186940441</c:v>
                </c:pt>
                <c:pt idx="4">
                  <c:v>12.151516719</c:v>
                </c:pt>
                <c:pt idx="5">
                  <c:v>9.1104290287000005</c:v>
                </c:pt>
                <c:pt idx="6">
                  <c:v>7.6984811717700001</c:v>
                </c:pt>
                <c:pt idx="7">
                  <c:v>9.1404071189699998</c:v>
                </c:pt>
                <c:pt idx="8">
                  <c:v>14.8708269294</c:v>
                </c:pt>
                <c:pt idx="9">
                  <c:v>12.5726101564</c:v>
                </c:pt>
                <c:pt idx="10">
                  <c:v>9.9888290883399993</c:v>
                </c:pt>
                <c:pt idx="11">
                  <c:v>9.0961276762299992</c:v>
                </c:pt>
                <c:pt idx="12">
                  <c:v>8.8362610659000005</c:v>
                </c:pt>
                <c:pt idx="13">
                  <c:v>8.8835523851199998</c:v>
                </c:pt>
                <c:pt idx="14">
                  <c:v>8.9813435290699992</c:v>
                </c:pt>
                <c:pt idx="15">
                  <c:v>9.1058112719200004</c:v>
                </c:pt>
                <c:pt idx="16">
                  <c:v>9.4698662292400009</c:v>
                </c:pt>
                <c:pt idx="17">
                  <c:v>10.1560274147</c:v>
                </c:pt>
                <c:pt idx="18">
                  <c:v>9.9217075670000003</c:v>
                </c:pt>
                <c:pt idx="19">
                  <c:v>9.7697564078300001</c:v>
                </c:pt>
                <c:pt idx="20">
                  <c:v>9.6628861596700002</c:v>
                </c:pt>
                <c:pt idx="21">
                  <c:v>9.5764847949299998</c:v>
                </c:pt>
                <c:pt idx="22">
                  <c:v>9.5128160723100006</c:v>
                </c:pt>
                <c:pt idx="23">
                  <c:v>9.4740739715300002</c:v>
                </c:pt>
                <c:pt idx="24">
                  <c:v>9.4574894400199998</c:v>
                </c:pt>
                <c:pt idx="25">
                  <c:v>9.4565306787499992</c:v>
                </c:pt>
                <c:pt idx="26">
                  <c:v>9.4633657633400006</c:v>
                </c:pt>
                <c:pt idx="27">
                  <c:v>9.4709772888499995</c:v>
                </c:pt>
                <c:pt idx="28">
                  <c:v>9.4744318941099994</c:v>
                </c:pt>
                <c:pt idx="29">
                  <c:v>9.4712813374200007</c:v>
                </c:pt>
                <c:pt idx="30">
                  <c:v>9.4612912956699997</c:v>
                </c:pt>
                <c:pt idx="31">
                  <c:v>9.4457760602600001</c:v>
                </c:pt>
                <c:pt idx="32">
                  <c:v>9.4268113229899999</c:v>
                </c:pt>
                <c:pt idx="33">
                  <c:v>9.4065361944399992</c:v>
                </c:pt>
                <c:pt idx="34">
                  <c:v>9.3866686207200001</c:v>
                </c:pt>
                <c:pt idx="35">
                  <c:v>9.3682714513200001</c:v>
                </c:pt>
                <c:pt idx="36">
                  <c:v>9.3517387630800002</c:v>
                </c:pt>
                <c:pt idx="37">
                  <c:v>9.3369330691299997</c:v>
                </c:pt>
                <c:pt idx="38">
                  <c:v>9.3233934612200002</c:v>
                </c:pt>
                <c:pt idx="39">
                  <c:v>9.3105455596300004</c:v>
                </c:pt>
                <c:pt idx="40">
                  <c:v>9.2978666991699992</c:v>
                </c:pt>
                <c:pt idx="41">
                  <c:v>9.2849850396400004</c:v>
                </c:pt>
                <c:pt idx="42">
                  <c:v>9.2717127780199995</c:v>
                </c:pt>
                <c:pt idx="43">
                  <c:v>9.2580279526599991</c:v>
                </c:pt>
                <c:pt idx="44">
                  <c:v>9.2440257647700008</c:v>
                </c:pt>
                <c:pt idx="45">
                  <c:v>9.2298601121200008</c:v>
                </c:pt>
                <c:pt idx="46">
                  <c:v>9.2156913680100008</c:v>
                </c:pt>
                <c:pt idx="47">
                  <c:v>9.2016498045600006</c:v>
                </c:pt>
                <c:pt idx="48">
                  <c:v>9.1878175427199995</c:v>
                </c:pt>
                <c:pt idx="49">
                  <c:v>9.17422690183</c:v>
                </c:pt>
                <c:pt idx="50">
                  <c:v>9.1608701243699997</c:v>
                </c:pt>
                <c:pt idx="51">
                  <c:v>9.1477146100999995</c:v>
                </c:pt>
                <c:pt idx="52">
                  <c:v>9.1347185163300004</c:v>
                </c:pt>
                <c:pt idx="53">
                  <c:v>9.1218431930600001</c:v>
                </c:pt>
                <c:pt idx="54">
                  <c:v>9.1090607768399998</c:v>
                </c:pt>
                <c:pt idx="55">
                  <c:v>9.0963568780500008</c:v>
                </c:pt>
                <c:pt idx="56">
                  <c:v>9.0837293918600004</c:v>
                </c:pt>
                <c:pt idx="57">
                  <c:v>9.0711849724599993</c:v>
                </c:pt>
                <c:pt idx="58">
                  <c:v>9.0587347149900008</c:v>
                </c:pt>
                <c:pt idx="59">
                  <c:v>9.0463902554000004</c:v>
                </c:pt>
                <c:pt idx="60">
                  <c:v>9.0341610080599999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B7-41EA-8A12-1712DE3C2E22}"/>
            </c:ext>
          </c:extLst>
        </c:ser>
        <c:ser>
          <c:idx val="2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BAU!$G$2:$G$62</c:f>
              <c:numCache>
                <c:formatCode>#,##0.00\ "%"</c:formatCode>
                <c:ptCount val="61"/>
                <c:pt idx="0">
                  <c:v>5.3812266713600003</c:v>
                </c:pt>
                <c:pt idx="1">
                  <c:v>22.1121728669</c:v>
                </c:pt>
                <c:pt idx="2">
                  <c:v>31.306267203899999</c:v>
                </c:pt>
                <c:pt idx="3">
                  <c:v>19.338718977599999</c:v>
                </c:pt>
                <c:pt idx="4">
                  <c:v>11.6842208812</c:v>
                </c:pt>
                <c:pt idx="5">
                  <c:v>9.27280141564</c:v>
                </c:pt>
                <c:pt idx="6">
                  <c:v>8.3556455721200003</c:v>
                </c:pt>
                <c:pt idx="7">
                  <c:v>8.5169042312599998</c:v>
                </c:pt>
                <c:pt idx="8">
                  <c:v>12.171520753599999</c:v>
                </c:pt>
                <c:pt idx="9">
                  <c:v>12.0497746136</c:v>
                </c:pt>
                <c:pt idx="10">
                  <c:v>10.320726690500001</c:v>
                </c:pt>
                <c:pt idx="11">
                  <c:v>9.5466998412299997</c:v>
                </c:pt>
                <c:pt idx="12">
                  <c:v>9.1327361818800004</c:v>
                </c:pt>
                <c:pt idx="13">
                  <c:v>8.9354493478699997</c:v>
                </c:pt>
                <c:pt idx="14">
                  <c:v>8.8949611222399998</c:v>
                </c:pt>
                <c:pt idx="15">
                  <c:v>8.9584418358400004</c:v>
                </c:pt>
                <c:pt idx="16">
                  <c:v>9.0742190931300009</c:v>
                </c:pt>
                <c:pt idx="17">
                  <c:v>9.19877466296</c:v>
                </c:pt>
                <c:pt idx="18">
                  <c:v>9.3022217483599992</c:v>
                </c:pt>
                <c:pt idx="19">
                  <c:v>9.3697242010099995</c:v>
                </c:pt>
                <c:pt idx="20">
                  <c:v>9.3994972678799993</c:v>
                </c:pt>
                <c:pt idx="21">
                  <c:v>9.3987829190400003</c:v>
                </c:pt>
                <c:pt idx="22">
                  <c:v>9.3792275578699993</c:v>
                </c:pt>
                <c:pt idx="23">
                  <c:v>9.3528212361200005</c:v>
                </c:pt>
                <c:pt idx="24">
                  <c:v>9.3291106664099992</c:v>
                </c:pt>
                <c:pt idx="25">
                  <c:v>9.3138983961499999</c:v>
                </c:pt>
                <c:pt idx="26">
                  <c:v>9.3092273496600004</c:v>
                </c:pt>
                <c:pt idx="27">
                  <c:v>9.3142147939599997</c:v>
                </c:pt>
                <c:pt idx="28">
                  <c:v>9.3262518850100005</c:v>
                </c:pt>
                <c:pt idx="29">
                  <c:v>9.3421714420399997</c:v>
                </c:pt>
                <c:pt idx="30">
                  <c:v>9.3591350475699997</c:v>
                </c:pt>
                <c:pt idx="31">
                  <c:v>9.3751412906899994</c:v>
                </c:pt>
                <c:pt idx="32">
                  <c:v>9.3891747398999996</c:v>
                </c:pt>
                <c:pt idx="33">
                  <c:v>9.4010868224100008</c:v>
                </c:pt>
                <c:pt idx="34">
                  <c:v>9.4113268046199998</c:v>
                </c:pt>
                <c:pt idx="35">
                  <c:v>9.4206333876400006</c:v>
                </c:pt>
                <c:pt idx="36">
                  <c:v>9.4297684020000005</c:v>
                </c:pt>
                <c:pt idx="37">
                  <c:v>9.4393370371599996</c:v>
                </c:pt>
                <c:pt idx="38">
                  <c:v>9.4497047229100009</c:v>
                </c:pt>
                <c:pt idx="39">
                  <c:v>9.4609958799899996</c:v>
                </c:pt>
                <c:pt idx="40">
                  <c:v>9.4731466589900002</c:v>
                </c:pt>
                <c:pt idx="41">
                  <c:v>9.4859813991300008</c:v>
                </c:pt>
                <c:pt idx="42">
                  <c:v>9.4992877077899998</c:v>
                </c:pt>
                <c:pt idx="43">
                  <c:v>9.5128740188100007</c:v>
                </c:pt>
                <c:pt idx="44">
                  <c:v>9.5266029254000006</c:v>
                </c:pt>
                <c:pt idx="45">
                  <c:v>9.5404012460099992</c:v>
                </c:pt>
                <c:pt idx="46">
                  <c:v>9.55425259099</c:v>
                </c:pt>
                <c:pt idx="47">
                  <c:v>9.5681800785700002</c:v>
                </c:pt>
                <c:pt idx="48">
                  <c:v>9.5822263952999993</c:v>
                </c:pt>
                <c:pt idx="49">
                  <c:v>9.5964365098600002</c:v>
                </c:pt>
                <c:pt idx="50">
                  <c:v>9.6108459387200007</c:v>
                </c:pt>
                <c:pt idx="51">
                  <c:v>9.62547523936</c:v>
                </c:pt>
                <c:pt idx="52">
                  <c:v>9.6403297987199998</c:v>
                </c:pt>
                <c:pt idx="53">
                  <c:v>9.6554031350200002</c:v>
                </c:pt>
                <c:pt idx="54">
                  <c:v>9.6706817682799997</c:v>
                </c:pt>
                <c:pt idx="55">
                  <c:v>9.6861500372399991</c:v>
                </c:pt>
                <c:pt idx="56">
                  <c:v>9.7017938108500008</c:v>
                </c:pt>
                <c:pt idx="57">
                  <c:v>9.7176026487700007</c:v>
                </c:pt>
                <c:pt idx="58">
                  <c:v>9.7335704620199994</c:v>
                </c:pt>
                <c:pt idx="59">
                  <c:v>9.7496950385800005</c:v>
                </c:pt>
                <c:pt idx="60">
                  <c:v>9.7659769250499995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B7-41EA-8A12-1712DE3C2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630400"/>
        <c:axId val="242634976"/>
      </c:scatterChart>
      <c:valAx>
        <c:axId val="242630400"/>
        <c:scaling>
          <c:orientation val="minMax"/>
          <c:max val="6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2634976"/>
        <c:crosses val="autoZero"/>
        <c:crossBetween val="midCat"/>
      </c:valAx>
      <c:valAx>
        <c:axId val="242634976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263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Complex performance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BAU!$K$2:$K$62</c:f>
              <c:numCache>
                <c:formatCode>#,##0.00\ "%"</c:formatCode>
                <c:ptCount val="61"/>
                <c:pt idx="0">
                  <c:v>56.7519570722</c:v>
                </c:pt>
                <c:pt idx="1">
                  <c:v>60.275445516399998</c:v>
                </c:pt>
                <c:pt idx="2">
                  <c:v>61.244280630200002</c:v>
                </c:pt>
                <c:pt idx="3">
                  <c:v>56.581161609500001</c:v>
                </c:pt>
                <c:pt idx="4">
                  <c:v>56.421059661000001</c:v>
                </c:pt>
                <c:pt idx="5">
                  <c:v>56.956124858599999</c:v>
                </c:pt>
                <c:pt idx="6">
                  <c:v>57.3927397255</c:v>
                </c:pt>
                <c:pt idx="7">
                  <c:v>58.085323064900003</c:v>
                </c:pt>
                <c:pt idx="8">
                  <c:v>59.156130351800002</c:v>
                </c:pt>
                <c:pt idx="9">
                  <c:v>57.897529566199999</c:v>
                </c:pt>
                <c:pt idx="10">
                  <c:v>57.3411494972</c:v>
                </c:pt>
                <c:pt idx="11">
                  <c:v>57.218439003699999</c:v>
                </c:pt>
                <c:pt idx="12">
                  <c:v>57.206597907999999</c:v>
                </c:pt>
                <c:pt idx="13">
                  <c:v>57.207897314599997</c:v>
                </c:pt>
                <c:pt idx="14">
                  <c:v>57.199354690600003</c:v>
                </c:pt>
                <c:pt idx="15">
                  <c:v>57.181529179199998</c:v>
                </c:pt>
                <c:pt idx="16">
                  <c:v>57.159442909500001</c:v>
                </c:pt>
                <c:pt idx="17">
                  <c:v>57.136346719700001</c:v>
                </c:pt>
                <c:pt idx="18">
                  <c:v>57.112993166099997</c:v>
                </c:pt>
                <c:pt idx="19">
                  <c:v>57.088798870399998</c:v>
                </c:pt>
                <c:pt idx="20">
                  <c:v>57.063085139999998</c:v>
                </c:pt>
                <c:pt idx="21">
                  <c:v>57.035727750500001</c:v>
                </c:pt>
                <c:pt idx="22">
                  <c:v>57.007212184399997</c:v>
                </c:pt>
                <c:pt idx="23">
                  <c:v>56.978358622000002</c:v>
                </c:pt>
                <c:pt idx="24">
                  <c:v>56.949985422499999</c:v>
                </c:pt>
                <c:pt idx="25">
                  <c:v>56.922671094999998</c:v>
                </c:pt>
                <c:pt idx="26">
                  <c:v>56.896661219800002</c:v>
                </c:pt>
                <c:pt idx="27">
                  <c:v>56.871895578100002</c:v>
                </c:pt>
                <c:pt idx="28">
                  <c:v>56.848104183899999</c:v>
                </c:pt>
                <c:pt idx="29">
                  <c:v>56.824922942999997</c:v>
                </c:pt>
                <c:pt idx="30">
                  <c:v>56.801994059800002</c:v>
                </c:pt>
                <c:pt idx="31">
                  <c:v>56.779032985900002</c:v>
                </c:pt>
                <c:pt idx="32">
                  <c:v>56.755857918799997</c:v>
                </c:pt>
                <c:pt idx="33">
                  <c:v>56.732387785999997</c:v>
                </c:pt>
                <c:pt idx="34">
                  <c:v>56.708619812999999</c:v>
                </c:pt>
                <c:pt idx="35">
                  <c:v>56.684598643199998</c:v>
                </c:pt>
                <c:pt idx="36">
                  <c:v>56.660386744599997</c:v>
                </c:pt>
                <c:pt idx="37">
                  <c:v>56.636042100899999</c:v>
                </c:pt>
                <c:pt idx="38">
                  <c:v>56.611605378699998</c:v>
                </c:pt>
                <c:pt idx="39">
                  <c:v>56.587095860200002</c:v>
                </c:pt>
                <c:pt idx="40">
                  <c:v>56.562513765299997</c:v>
                </c:pt>
                <c:pt idx="41">
                  <c:v>56.537846085300004</c:v>
                </c:pt>
                <c:pt idx="42">
                  <c:v>56.513073356200003</c:v>
                </c:pt>
                <c:pt idx="43">
                  <c:v>56.488175550500003</c:v>
                </c:pt>
                <c:pt idx="44">
                  <c:v>56.4631361191</c:v>
                </c:pt>
                <c:pt idx="45">
                  <c:v>56.437943965700001</c:v>
                </c:pt>
                <c:pt idx="46">
                  <c:v>56.412593656200002</c:v>
                </c:pt>
                <c:pt idx="47">
                  <c:v>56.387084435600002</c:v>
                </c:pt>
                <c:pt idx="48">
                  <c:v>56.361418671999999</c:v>
                </c:pt>
                <c:pt idx="49">
                  <c:v>56.335600250399999</c:v>
                </c:pt>
                <c:pt idx="50">
                  <c:v>56.309633259500004</c:v>
                </c:pt>
                <c:pt idx="51">
                  <c:v>56.283521132799997</c:v>
                </c:pt>
                <c:pt idx="52">
                  <c:v>56.257266251200001</c:v>
                </c:pt>
                <c:pt idx="53">
                  <c:v>56.2308699182</c:v>
                </c:pt>
                <c:pt idx="54">
                  <c:v>56.204332571999998</c:v>
                </c:pt>
                <c:pt idx="55">
                  <c:v>56.177654103599998</c:v>
                </c:pt>
                <c:pt idx="56">
                  <c:v>56.150834171500001</c:v>
                </c:pt>
                <c:pt idx="57">
                  <c:v>56.123872450100002</c:v>
                </c:pt>
                <c:pt idx="58">
                  <c:v>56.096768780200001</c:v>
                </c:pt>
                <c:pt idx="59">
                  <c:v>56.069523227600001</c:v>
                </c:pt>
                <c:pt idx="60">
                  <c:v>56.042136067199998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F-494E-8367-B250C3C9A77C}"/>
            </c:ext>
          </c:extLst>
        </c:ser>
        <c:ser>
          <c:idx val="1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BAU!$L$2:$L$62</c:f>
              <c:numCache>
                <c:formatCode>#,##0.00\ "%"</c:formatCode>
                <c:ptCount val="61"/>
                <c:pt idx="0">
                  <c:v>56.745964262400001</c:v>
                </c:pt>
                <c:pt idx="1">
                  <c:v>60.063292056500003</c:v>
                </c:pt>
                <c:pt idx="2">
                  <c:v>61.640813539600003</c:v>
                </c:pt>
                <c:pt idx="3">
                  <c:v>56.745249752600003</c:v>
                </c:pt>
                <c:pt idx="4">
                  <c:v>56.548905994400002</c:v>
                </c:pt>
                <c:pt idx="5">
                  <c:v>57.059299702200001</c:v>
                </c:pt>
                <c:pt idx="6">
                  <c:v>57.535036594399998</c:v>
                </c:pt>
                <c:pt idx="7">
                  <c:v>58.8099844125</c:v>
                </c:pt>
                <c:pt idx="8">
                  <c:v>59.876279397700003</c:v>
                </c:pt>
                <c:pt idx="9">
                  <c:v>58.117104057399999</c:v>
                </c:pt>
                <c:pt idx="10">
                  <c:v>57.562180917100001</c:v>
                </c:pt>
                <c:pt idx="11">
                  <c:v>57.525011240399998</c:v>
                </c:pt>
                <c:pt idx="12">
                  <c:v>57.602846497199998</c:v>
                </c:pt>
                <c:pt idx="13">
                  <c:v>57.679827666100003</c:v>
                </c:pt>
                <c:pt idx="14">
                  <c:v>57.717181792700003</c:v>
                </c:pt>
                <c:pt idx="15">
                  <c:v>57.752524152500001</c:v>
                </c:pt>
                <c:pt idx="16">
                  <c:v>57.901447186799999</c:v>
                </c:pt>
                <c:pt idx="17">
                  <c:v>57.976763184399999</c:v>
                </c:pt>
                <c:pt idx="18">
                  <c:v>57.855092970599998</c:v>
                </c:pt>
                <c:pt idx="19">
                  <c:v>57.836926048400002</c:v>
                </c:pt>
                <c:pt idx="20">
                  <c:v>57.844677907300003</c:v>
                </c:pt>
                <c:pt idx="21">
                  <c:v>57.858107238700001</c:v>
                </c:pt>
                <c:pt idx="22">
                  <c:v>57.872156896</c:v>
                </c:pt>
                <c:pt idx="23">
                  <c:v>57.886689112699997</c:v>
                </c:pt>
                <c:pt idx="24">
                  <c:v>57.902614377399999</c:v>
                </c:pt>
                <c:pt idx="25">
                  <c:v>57.920474554800002</c:v>
                </c:pt>
                <c:pt idx="26">
                  <c:v>57.9401482285</c:v>
                </c:pt>
                <c:pt idx="27">
                  <c:v>57.961043003599997</c:v>
                </c:pt>
                <c:pt idx="28">
                  <c:v>57.982416767499998</c:v>
                </c:pt>
                <c:pt idx="29">
                  <c:v>58.003641534899998</c:v>
                </c:pt>
                <c:pt idx="30">
                  <c:v>58.024341668399998</c:v>
                </c:pt>
                <c:pt idx="31">
                  <c:v>58.044411307799997</c:v>
                </c:pt>
                <c:pt idx="32">
                  <c:v>58.0639509445</c:v>
                </c:pt>
                <c:pt idx="33">
                  <c:v>58.083170444300002</c:v>
                </c:pt>
                <c:pt idx="34">
                  <c:v>58.102296659399997</c:v>
                </c:pt>
                <c:pt idx="35">
                  <c:v>58.121507980300002</c:v>
                </c:pt>
                <c:pt idx="36">
                  <c:v>58.140902859000001</c:v>
                </c:pt>
                <c:pt idx="37">
                  <c:v>58.160498277800002</c:v>
                </c:pt>
                <c:pt idx="38">
                  <c:v>58.180248337499997</c:v>
                </c:pt>
                <c:pt idx="39">
                  <c:v>58.200071859099999</c:v>
                </c:pt>
                <c:pt idx="40">
                  <c:v>58.219879635300003</c:v>
                </c:pt>
                <c:pt idx="41">
                  <c:v>58.239595205299999</c:v>
                </c:pt>
                <c:pt idx="42">
                  <c:v>58.259166511099998</c:v>
                </c:pt>
                <c:pt idx="43">
                  <c:v>58.278568701799998</c:v>
                </c:pt>
                <c:pt idx="44">
                  <c:v>58.297800244299999</c:v>
                </c:pt>
                <c:pt idx="45">
                  <c:v>58.3168753044</c:v>
                </c:pt>
                <c:pt idx="46">
                  <c:v>58.335815248300001</c:v>
                </c:pt>
                <c:pt idx="47">
                  <c:v>58.354641403400002</c:v>
                </c:pt>
                <c:pt idx="48">
                  <c:v>58.373370256000001</c:v>
                </c:pt>
                <c:pt idx="49">
                  <c:v>58.392011349599997</c:v>
                </c:pt>
                <c:pt idx="50">
                  <c:v>58.410567466000003</c:v>
                </c:pt>
                <c:pt idx="51">
                  <c:v>58.429036304699999</c:v>
                </c:pt>
                <c:pt idx="52">
                  <c:v>58.4474127955</c:v>
                </c:pt>
                <c:pt idx="53">
                  <c:v>58.465691321400001</c:v>
                </c:pt>
                <c:pt idx="54">
                  <c:v>58.483867378500001</c:v>
                </c:pt>
                <c:pt idx="55">
                  <c:v>58.501938480600003</c:v>
                </c:pt>
                <c:pt idx="56">
                  <c:v>58.519904341999997</c:v>
                </c:pt>
                <c:pt idx="57">
                  <c:v>58.5377665249</c:v>
                </c:pt>
                <c:pt idx="58">
                  <c:v>58.555527796100002</c:v>
                </c:pt>
                <c:pt idx="59">
                  <c:v>58.573191425899999</c:v>
                </c:pt>
                <c:pt idx="60">
                  <c:v>58.590760598599999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E1-4DEC-AC8C-5D6860EB1530}"/>
            </c:ext>
          </c:extLst>
        </c:ser>
        <c:ser>
          <c:idx val="2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BAU!$A$2:$A$62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BAU!$M$2:$M$62</c:f>
              <c:numCache>
                <c:formatCode>#,##0.00\ "%"</c:formatCode>
                <c:ptCount val="61"/>
                <c:pt idx="0">
                  <c:v>56.755076671499999</c:v>
                </c:pt>
                <c:pt idx="1">
                  <c:v>60.383164437600001</c:v>
                </c:pt>
                <c:pt idx="2">
                  <c:v>61.0478418366</c:v>
                </c:pt>
                <c:pt idx="3">
                  <c:v>56.494628554800002</c:v>
                </c:pt>
                <c:pt idx="4">
                  <c:v>56.350783426100001</c:v>
                </c:pt>
                <c:pt idx="5">
                  <c:v>56.8962293855</c:v>
                </c:pt>
                <c:pt idx="6">
                  <c:v>57.313466565399999</c:v>
                </c:pt>
                <c:pt idx="7">
                  <c:v>57.729234646099997</c:v>
                </c:pt>
                <c:pt idx="8">
                  <c:v>58.711645822999998</c:v>
                </c:pt>
                <c:pt idx="9">
                  <c:v>57.756448299600002</c:v>
                </c:pt>
                <c:pt idx="10">
                  <c:v>57.226019946900003</c:v>
                </c:pt>
                <c:pt idx="11">
                  <c:v>57.060436729199999</c:v>
                </c:pt>
                <c:pt idx="12">
                  <c:v>56.997548389400002</c:v>
                </c:pt>
                <c:pt idx="13">
                  <c:v>56.955030282000003</c:v>
                </c:pt>
                <c:pt idx="14">
                  <c:v>56.910677374300001</c:v>
                </c:pt>
                <c:pt idx="15">
                  <c:v>56.862293067700001</c:v>
                </c:pt>
                <c:pt idx="16">
                  <c:v>56.812496008799997</c:v>
                </c:pt>
                <c:pt idx="17">
                  <c:v>56.763291665200001</c:v>
                </c:pt>
                <c:pt idx="18">
                  <c:v>56.714983049499999</c:v>
                </c:pt>
                <c:pt idx="19">
                  <c:v>56.666784356100003</c:v>
                </c:pt>
                <c:pt idx="20">
                  <c:v>56.617731385299997</c:v>
                </c:pt>
                <c:pt idx="21">
                  <c:v>56.567267908399998</c:v>
                </c:pt>
                <c:pt idx="22">
                  <c:v>56.515393980299997</c:v>
                </c:pt>
                <c:pt idx="23">
                  <c:v>56.462515495799998</c:v>
                </c:pt>
                <c:pt idx="24">
                  <c:v>56.409189896699999</c:v>
                </c:pt>
                <c:pt idx="25">
                  <c:v>56.355909225300003</c:v>
                </c:pt>
                <c:pt idx="26">
                  <c:v>56.302980203300002</c:v>
                </c:pt>
                <c:pt idx="27">
                  <c:v>56.250499265400002</c:v>
                </c:pt>
                <c:pt idx="28">
                  <c:v>56.198391189500001</c:v>
                </c:pt>
                <c:pt idx="29">
                  <c:v>56.146475666900002</c:v>
                </c:pt>
                <c:pt idx="30">
                  <c:v>56.094534406999998</c:v>
                </c:pt>
                <c:pt idx="31">
                  <c:v>56.042362867599998</c:v>
                </c:pt>
                <c:pt idx="32">
                  <c:v>55.989800781500001</c:v>
                </c:pt>
                <c:pt idx="33">
                  <c:v>55.936742732900001</c:v>
                </c:pt>
                <c:pt idx="34">
                  <c:v>55.8831340001</c:v>
                </c:pt>
                <c:pt idx="35">
                  <c:v>55.828958147000002</c:v>
                </c:pt>
                <c:pt idx="36">
                  <c:v>55.774222160000001</c:v>
                </c:pt>
                <c:pt idx="37">
                  <c:v>55.718943169600003</c:v>
                </c:pt>
                <c:pt idx="38">
                  <c:v>55.663138814500002</c:v>
                </c:pt>
                <c:pt idx="39">
                  <c:v>55.6068216639</c:v>
                </c:pt>
                <c:pt idx="40">
                  <c:v>55.5499970881</c:v>
                </c:pt>
                <c:pt idx="41">
                  <c:v>55.492663520500003</c:v>
                </c:pt>
                <c:pt idx="42">
                  <c:v>55.434814038500001</c:v>
                </c:pt>
                <c:pt idx="43">
                  <c:v>55.376438401800002</c:v>
                </c:pt>
                <c:pt idx="44">
                  <c:v>55.317524976900003</c:v>
                </c:pt>
                <c:pt idx="45">
                  <c:v>55.258062242400001</c:v>
                </c:pt>
                <c:pt idx="46">
                  <c:v>55.198039774100003</c:v>
                </c:pt>
                <c:pt idx="47">
                  <c:v>55.1374487398</c:v>
                </c:pt>
                <c:pt idx="48">
                  <c:v>55.076281997800002</c:v>
                </c:pt>
                <c:pt idx="49">
                  <c:v>55.014533919800002</c:v>
                </c:pt>
                <c:pt idx="50">
                  <c:v>54.952200050499997</c:v>
                </c:pt>
                <c:pt idx="51">
                  <c:v>54.8892767018</c:v>
                </c:pt>
                <c:pt idx="52">
                  <c:v>54.825760555700001</c:v>
                </c:pt>
                <c:pt idx="53">
                  <c:v>54.761648326600003</c:v>
                </c:pt>
                <c:pt idx="54">
                  <c:v>54.696936514500003</c:v>
                </c:pt>
                <c:pt idx="55">
                  <c:v>54.631621258099997</c:v>
                </c:pt>
                <c:pt idx="56">
                  <c:v>54.565698281800003</c:v>
                </c:pt>
                <c:pt idx="57">
                  <c:v>54.499162919600003</c:v>
                </c:pt>
                <c:pt idx="58">
                  <c:v>54.4320101888</c:v>
                </c:pt>
                <c:pt idx="59">
                  <c:v>54.364234886699997</c:v>
                </c:pt>
                <c:pt idx="60">
                  <c:v>54.295831687300002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E1-4DEC-AC8C-5D6860EB1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630400"/>
        <c:axId val="242634976"/>
      </c:scatterChart>
      <c:valAx>
        <c:axId val="242630400"/>
        <c:scaling>
          <c:orientation val="minMax"/>
          <c:max val="6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2634976"/>
        <c:crosses val="autoZero"/>
        <c:crossBetween val="midCat"/>
      </c:valAx>
      <c:valAx>
        <c:axId val="24263497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263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BAI!$B$1</c:f>
              <c:strCache>
                <c:ptCount val="1"/>
                <c:pt idx="0">
                  <c:v>BAU EnviI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BAI!$B$2:$B$62</c:f>
              <c:numCache>
                <c:formatCode>#,##0.00\ "%"</c:formatCode>
                <c:ptCount val="61"/>
                <c:pt idx="0">
                  <c:v>74.494774371899993</c:v>
                </c:pt>
                <c:pt idx="1">
                  <c:v>71.1300234964</c:v>
                </c:pt>
                <c:pt idx="2">
                  <c:v>65.901706906200005</c:v>
                </c:pt>
                <c:pt idx="3">
                  <c:v>56.445038898</c:v>
                </c:pt>
                <c:pt idx="4">
                  <c:v>59.386145601599999</c:v>
                </c:pt>
                <c:pt idx="5">
                  <c:v>61.910833179599997</c:v>
                </c:pt>
                <c:pt idx="6">
                  <c:v>63.27808967</c:v>
                </c:pt>
                <c:pt idx="7">
                  <c:v>64.594435232400002</c:v>
                </c:pt>
                <c:pt idx="8">
                  <c:v>65.084609649699999</c:v>
                </c:pt>
                <c:pt idx="9">
                  <c:v>61.6602332967</c:v>
                </c:pt>
                <c:pt idx="10">
                  <c:v>61.243471204099997</c:v>
                </c:pt>
                <c:pt idx="11">
                  <c:v>61.573751769600001</c:v>
                </c:pt>
                <c:pt idx="12">
                  <c:v>61.947284865299999</c:v>
                </c:pt>
                <c:pt idx="13">
                  <c:v>62.1446963486</c:v>
                </c:pt>
                <c:pt idx="14">
                  <c:v>62.152043654499998</c:v>
                </c:pt>
                <c:pt idx="15">
                  <c:v>62.031386534399999</c:v>
                </c:pt>
                <c:pt idx="16">
                  <c:v>61.855801117600002</c:v>
                </c:pt>
                <c:pt idx="17">
                  <c:v>61.680861383699998</c:v>
                </c:pt>
                <c:pt idx="18">
                  <c:v>61.537368939099998</c:v>
                </c:pt>
                <c:pt idx="19">
                  <c:v>61.4347600997</c:v>
                </c:pt>
                <c:pt idx="20">
                  <c:v>61.368303291399997</c:v>
                </c:pt>
                <c:pt idx="21">
                  <c:v>61.326299558700001</c:v>
                </c:pt>
                <c:pt idx="22">
                  <c:v>61.295652200500001</c:v>
                </c:pt>
                <c:pt idx="23">
                  <c:v>61.2653936492</c:v>
                </c:pt>
                <c:pt idx="24">
                  <c:v>61.228342310999999</c:v>
                </c:pt>
                <c:pt idx="25">
                  <c:v>61.181310539099997</c:v>
                </c:pt>
                <c:pt idx="26">
                  <c:v>61.124371275000001</c:v>
                </c:pt>
                <c:pt idx="27">
                  <c:v>61.0596789493</c:v>
                </c:pt>
                <c:pt idx="28">
                  <c:v>60.990253365400001</c:v>
                </c:pt>
                <c:pt idx="29">
                  <c:v>60.9190008717</c:v>
                </c:pt>
                <c:pt idx="30">
                  <c:v>60.848101759400002</c:v>
                </c:pt>
                <c:pt idx="31">
                  <c:v>60.778769627099997</c:v>
                </c:pt>
                <c:pt idx="32">
                  <c:v>60.7113065765</c:v>
                </c:pt>
                <c:pt idx="33">
                  <c:v>60.645340913699997</c:v>
                </c:pt>
                <c:pt idx="34">
                  <c:v>60.580133720200003</c:v>
                </c:pt>
                <c:pt idx="35">
                  <c:v>60.514864378799999</c:v>
                </c:pt>
                <c:pt idx="36">
                  <c:v>60.448839773800003</c:v>
                </c:pt>
                <c:pt idx="37">
                  <c:v>60.381606699099997</c:v>
                </c:pt>
                <c:pt idx="38">
                  <c:v>60.312974754899997</c:v>
                </c:pt>
                <c:pt idx="39">
                  <c:v>60.242974147699996</c:v>
                </c:pt>
                <c:pt idx="40">
                  <c:v>60.171779059099997</c:v>
                </c:pt>
                <c:pt idx="41">
                  <c:v>60.0996247418</c:v>
                </c:pt>
                <c:pt idx="42">
                  <c:v>60.026738614999999</c:v>
                </c:pt>
                <c:pt idx="43">
                  <c:v>59.953295862799997</c:v>
                </c:pt>
                <c:pt idx="44">
                  <c:v>59.8794011747</c:v>
                </c:pt>
                <c:pt idx="45">
                  <c:v>59.805091967700001</c:v>
                </c:pt>
                <c:pt idx="46">
                  <c:v>59.730355250899997</c:v>
                </c:pt>
                <c:pt idx="47">
                  <c:v>59.655149887699999</c:v>
                </c:pt>
                <c:pt idx="48">
                  <c:v>59.579427558500001</c:v>
                </c:pt>
                <c:pt idx="49">
                  <c:v>59.503148231700003</c:v>
                </c:pt>
                <c:pt idx="50">
                  <c:v>59.426288549200002</c:v>
                </c:pt>
                <c:pt idx="51">
                  <c:v>59.348843623199997</c:v>
                </c:pt>
                <c:pt idx="52">
                  <c:v>59.270824028600003</c:v>
                </c:pt>
                <c:pt idx="53">
                  <c:v>59.192250246299999</c:v>
                </c:pt>
                <c:pt idx="54">
                  <c:v>59.113146627699997</c:v>
                </c:pt>
                <c:pt idx="55">
                  <c:v>59.033536373399997</c:v>
                </c:pt>
                <c:pt idx="56">
                  <c:v>58.953438301799999</c:v>
                </c:pt>
                <c:pt idx="57">
                  <c:v>58.872865532299997</c:v>
                </c:pt>
                <c:pt idx="58">
                  <c:v>58.791825745799997</c:v>
                </c:pt>
                <c:pt idx="59">
                  <c:v>58.710322448299998</c:v>
                </c:pt>
                <c:pt idx="60">
                  <c:v>58.628356634100001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D7-4EEF-B240-63414371E252}"/>
            </c:ext>
          </c:extLst>
        </c:ser>
        <c:ser>
          <c:idx val="1"/>
          <c:order val="1"/>
          <c:tx>
            <c:strRef>
              <c:f>BAI!$C$1</c:f>
              <c:strCache>
                <c:ptCount val="1"/>
                <c:pt idx="0">
                  <c:v>BAU-P EnviI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BAI!$C$2:$C$62</c:f>
              <c:numCache>
                <c:formatCode>#,##0.00\ "%"</c:formatCode>
                <c:ptCount val="61"/>
                <c:pt idx="0">
                  <c:v>73.803982476100003</c:v>
                </c:pt>
                <c:pt idx="1">
                  <c:v>66.937219128899997</c:v>
                </c:pt>
                <c:pt idx="2">
                  <c:v>93.819723120000006</c:v>
                </c:pt>
                <c:pt idx="3">
                  <c:v>64.589772134499995</c:v>
                </c:pt>
                <c:pt idx="4">
                  <c:v>56.763322528499998</c:v>
                </c:pt>
                <c:pt idx="5">
                  <c:v>58.413840589099998</c:v>
                </c:pt>
                <c:pt idx="6">
                  <c:v>60.349109057699998</c:v>
                </c:pt>
                <c:pt idx="7">
                  <c:v>62.089410952199998</c:v>
                </c:pt>
                <c:pt idx="8">
                  <c:v>63.549076505000002</c:v>
                </c:pt>
                <c:pt idx="9">
                  <c:v>69.6738100261</c:v>
                </c:pt>
                <c:pt idx="10">
                  <c:v>71.220791784200003</c:v>
                </c:pt>
                <c:pt idx="11">
                  <c:v>61.457251288000002</c:v>
                </c:pt>
                <c:pt idx="12">
                  <c:v>59.833133026699997</c:v>
                </c:pt>
                <c:pt idx="13">
                  <c:v>60.0308760311</c:v>
                </c:pt>
                <c:pt idx="14">
                  <c:v>60.6970986356</c:v>
                </c:pt>
                <c:pt idx="15">
                  <c:v>61.638771629899999</c:v>
                </c:pt>
                <c:pt idx="16">
                  <c:v>62.728721820600001</c:v>
                </c:pt>
                <c:pt idx="17">
                  <c:v>67.889965653299996</c:v>
                </c:pt>
                <c:pt idx="18">
                  <c:v>70.351985565600003</c:v>
                </c:pt>
                <c:pt idx="19">
                  <c:v>61.3419132107</c:v>
                </c:pt>
                <c:pt idx="20">
                  <c:v>59.508897729700003</c:v>
                </c:pt>
                <c:pt idx="21">
                  <c:v>59.5650052059</c:v>
                </c:pt>
                <c:pt idx="22">
                  <c:v>60.192257555099999</c:v>
                </c:pt>
                <c:pt idx="23">
                  <c:v>61.131882750800003</c:v>
                </c:pt>
                <c:pt idx="24">
                  <c:v>62.217476468000001</c:v>
                </c:pt>
                <c:pt idx="25">
                  <c:v>66.6604570346</c:v>
                </c:pt>
                <c:pt idx="26">
                  <c:v>69.745780374399999</c:v>
                </c:pt>
                <c:pt idx="27">
                  <c:v>61.233890511600002</c:v>
                </c:pt>
                <c:pt idx="28">
                  <c:v>59.1226260432</c:v>
                </c:pt>
                <c:pt idx="29">
                  <c:v>59.047288724799998</c:v>
                </c:pt>
                <c:pt idx="30">
                  <c:v>59.612827842599998</c:v>
                </c:pt>
                <c:pt idx="31">
                  <c:v>60.520857708400001</c:v>
                </c:pt>
                <c:pt idx="32">
                  <c:v>61.602189840400001</c:v>
                </c:pt>
                <c:pt idx="33">
                  <c:v>65.091853721600003</c:v>
                </c:pt>
                <c:pt idx="34">
                  <c:v>69.544024665699993</c:v>
                </c:pt>
                <c:pt idx="35">
                  <c:v>61.544511300099998</c:v>
                </c:pt>
                <c:pt idx="36">
                  <c:v>58.647585646099998</c:v>
                </c:pt>
                <c:pt idx="37">
                  <c:v>58.377881555099997</c:v>
                </c:pt>
                <c:pt idx="38">
                  <c:v>58.903653844700003</c:v>
                </c:pt>
                <c:pt idx="39">
                  <c:v>59.8097851144</c:v>
                </c:pt>
                <c:pt idx="40">
                  <c:v>60.913682792099998</c:v>
                </c:pt>
                <c:pt idx="41">
                  <c:v>63.408278347900001</c:v>
                </c:pt>
                <c:pt idx="42">
                  <c:v>68.909801491600007</c:v>
                </c:pt>
                <c:pt idx="43">
                  <c:v>63.093037070999998</c:v>
                </c:pt>
                <c:pt idx="44">
                  <c:v>58.186983022299998</c:v>
                </c:pt>
                <c:pt idx="45">
                  <c:v>57.633987317100001</c:v>
                </c:pt>
                <c:pt idx="46">
                  <c:v>58.114236279399996</c:v>
                </c:pt>
                <c:pt idx="47">
                  <c:v>59.021996627599997</c:v>
                </c:pt>
                <c:pt idx="48">
                  <c:v>60.156724604399997</c:v>
                </c:pt>
                <c:pt idx="49">
                  <c:v>61.6365688299</c:v>
                </c:pt>
                <c:pt idx="50">
                  <c:v>67.755832631700002</c:v>
                </c:pt>
                <c:pt idx="51">
                  <c:v>64.700410338699996</c:v>
                </c:pt>
                <c:pt idx="52">
                  <c:v>57.798523622899999</c:v>
                </c:pt>
                <c:pt idx="53">
                  <c:v>56.839199892400003</c:v>
                </c:pt>
                <c:pt idx="54">
                  <c:v>57.2592614008</c:v>
                </c:pt>
                <c:pt idx="55">
                  <c:v>58.168318589999998</c:v>
                </c:pt>
                <c:pt idx="56">
                  <c:v>59.338525432899999</c:v>
                </c:pt>
                <c:pt idx="57">
                  <c:v>60.568281575599997</c:v>
                </c:pt>
                <c:pt idx="58">
                  <c:v>66.205282322800002</c:v>
                </c:pt>
                <c:pt idx="59">
                  <c:v>65.958587086700007</c:v>
                </c:pt>
                <c:pt idx="60">
                  <c:v>57.540369356299998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D7-4EEF-B240-63414371E252}"/>
            </c:ext>
          </c:extLst>
        </c:ser>
        <c:ser>
          <c:idx val="2"/>
          <c:order val="2"/>
          <c:tx>
            <c:strRef>
              <c:f>BAI!$D$1</c:f>
              <c:strCache>
                <c:ptCount val="1"/>
                <c:pt idx="0">
                  <c:v>BAU-W EnviI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BAI!$D$2:$D$62</c:f>
              <c:numCache>
                <c:formatCode>#,##0.00\ "%"</c:formatCode>
                <c:ptCount val="61"/>
                <c:pt idx="0">
                  <c:v>74.826949421999998</c:v>
                </c:pt>
                <c:pt idx="1">
                  <c:v>72.085338094999997</c:v>
                </c:pt>
                <c:pt idx="2">
                  <c:v>64.757336781899994</c:v>
                </c:pt>
                <c:pt idx="3">
                  <c:v>57.239076113000003</c:v>
                </c:pt>
                <c:pt idx="4">
                  <c:v>60.7233070885</c:v>
                </c:pt>
                <c:pt idx="5">
                  <c:v>63.589914795699997</c:v>
                </c:pt>
                <c:pt idx="6">
                  <c:v>66.383667371599998</c:v>
                </c:pt>
                <c:pt idx="7">
                  <c:v>66.209920444100007</c:v>
                </c:pt>
                <c:pt idx="8">
                  <c:v>62.631687875300003</c:v>
                </c:pt>
                <c:pt idx="9">
                  <c:v>62.627226607899999</c:v>
                </c:pt>
                <c:pt idx="10">
                  <c:v>63.205779168399999</c:v>
                </c:pt>
                <c:pt idx="11">
                  <c:v>63.636150510999997</c:v>
                </c:pt>
                <c:pt idx="12">
                  <c:v>63.781848288799999</c:v>
                </c:pt>
                <c:pt idx="13">
                  <c:v>63.718816187000002</c:v>
                </c:pt>
                <c:pt idx="14">
                  <c:v>63.561924361000003</c:v>
                </c:pt>
                <c:pt idx="15">
                  <c:v>63.398277071800003</c:v>
                </c:pt>
                <c:pt idx="16">
                  <c:v>63.273088804700002</c:v>
                </c:pt>
                <c:pt idx="17">
                  <c:v>63.197371405600002</c:v>
                </c:pt>
                <c:pt idx="18">
                  <c:v>63.1613784671</c:v>
                </c:pt>
                <c:pt idx="19">
                  <c:v>63.146831674200001</c:v>
                </c:pt>
                <c:pt idx="20">
                  <c:v>63.135641865099998</c:v>
                </c:pt>
                <c:pt idx="21">
                  <c:v>63.11483398</c:v>
                </c:pt>
                <c:pt idx="22">
                  <c:v>63.078202441199998</c:v>
                </c:pt>
                <c:pt idx="23">
                  <c:v>63.025614672700002</c:v>
                </c:pt>
                <c:pt idx="24">
                  <c:v>62.961020444100001</c:v>
                </c:pt>
                <c:pt idx="25">
                  <c:v>62.890125472500003</c:v>
                </c:pt>
                <c:pt idx="26">
                  <c:v>62.818412634200001</c:v>
                </c:pt>
                <c:pt idx="27">
                  <c:v>62.749860493500002</c:v>
                </c:pt>
                <c:pt idx="28">
                  <c:v>62.686421602899998</c:v>
                </c:pt>
                <c:pt idx="29">
                  <c:v>62.628133420200001</c:v>
                </c:pt>
                <c:pt idx="30">
                  <c:v>62.573642798999998</c:v>
                </c:pt>
                <c:pt idx="31">
                  <c:v>62.520906712699997</c:v>
                </c:pt>
                <c:pt idx="32">
                  <c:v>62.467862523699999</c:v>
                </c:pt>
                <c:pt idx="33">
                  <c:v>62.412922664299998</c:v>
                </c:pt>
                <c:pt idx="34">
                  <c:v>62.355225136999998</c:v>
                </c:pt>
                <c:pt idx="35">
                  <c:v>62.294645300100001</c:v>
                </c:pt>
                <c:pt idx="36">
                  <c:v>62.231629629799997</c:v>
                </c:pt>
                <c:pt idx="37">
                  <c:v>62.166938899100003</c:v>
                </c:pt>
                <c:pt idx="38">
                  <c:v>62.101386479399999</c:v>
                </c:pt>
                <c:pt idx="39">
                  <c:v>62.035635213600003</c:v>
                </c:pt>
                <c:pt idx="40">
                  <c:v>61.970084878999998</c:v>
                </c:pt>
                <c:pt idx="41">
                  <c:v>61.904852034299999</c:v>
                </c:pt>
                <c:pt idx="42">
                  <c:v>61.839821879600002</c:v>
                </c:pt>
                <c:pt idx="43">
                  <c:v>61.774740477100003</c:v>
                </c:pt>
                <c:pt idx="44">
                  <c:v>61.709314807399998</c:v>
                </c:pt>
                <c:pt idx="45">
                  <c:v>61.643295035000001</c:v>
                </c:pt>
                <c:pt idx="46">
                  <c:v>61.576524375399998</c:v>
                </c:pt>
                <c:pt idx="47">
                  <c:v>61.508953488499998</c:v>
                </c:pt>
                <c:pt idx="48">
                  <c:v>61.4406255122</c:v>
                </c:pt>
                <c:pt idx="49">
                  <c:v>61.371643157400001</c:v>
                </c:pt>
                <c:pt idx="50">
                  <c:v>61.302130461099999</c:v>
                </c:pt>
                <c:pt idx="51">
                  <c:v>61.232199664200003</c:v>
                </c:pt>
                <c:pt idx="52">
                  <c:v>61.161929651100003</c:v>
                </c:pt>
                <c:pt idx="53">
                  <c:v>61.091357919700002</c:v>
                </c:pt>
                <c:pt idx="54">
                  <c:v>61.020484336599999</c:v>
                </c:pt>
                <c:pt idx="55">
                  <c:v>60.949282622699997</c:v>
                </c:pt>
                <c:pt idx="56">
                  <c:v>60.877714791199999</c:v>
                </c:pt>
                <c:pt idx="57">
                  <c:v>60.805744350600001</c:v>
                </c:pt>
                <c:pt idx="58">
                  <c:v>60.733345501099997</c:v>
                </c:pt>
                <c:pt idx="59">
                  <c:v>60.660507242999998</c:v>
                </c:pt>
                <c:pt idx="60">
                  <c:v>60.587232805399999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D7-4EEF-B240-63414371E252}"/>
            </c:ext>
          </c:extLst>
        </c:ser>
        <c:ser>
          <c:idx val="3"/>
          <c:order val="3"/>
          <c:tx>
            <c:strRef>
              <c:f>BAI!$E$1</c:f>
              <c:strCache>
                <c:ptCount val="1"/>
                <c:pt idx="0">
                  <c:v>BAU-PW EnviI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BAI!$E$2:$E$62</c:f>
              <c:numCache>
                <c:formatCode>#,##0.00\ "%"</c:formatCode>
                <c:ptCount val="61"/>
                <c:pt idx="0">
                  <c:v>73.920830840400001</c:v>
                </c:pt>
                <c:pt idx="1">
                  <c:v>66.802183662600001</c:v>
                </c:pt>
                <c:pt idx="2">
                  <c:v>94.286507944799993</c:v>
                </c:pt>
                <c:pt idx="3">
                  <c:v>63.2785390134</c:v>
                </c:pt>
                <c:pt idx="4">
                  <c:v>56.9680157158</c:v>
                </c:pt>
                <c:pt idx="5">
                  <c:v>59.045690594</c:v>
                </c:pt>
                <c:pt idx="6">
                  <c:v>61.111739613200001</c:v>
                </c:pt>
                <c:pt idx="7">
                  <c:v>62.675944700700001</c:v>
                </c:pt>
                <c:pt idx="8">
                  <c:v>63.823825174699998</c:v>
                </c:pt>
                <c:pt idx="9">
                  <c:v>69.4598594303</c:v>
                </c:pt>
                <c:pt idx="10">
                  <c:v>66.961635080600004</c:v>
                </c:pt>
                <c:pt idx="11">
                  <c:v>61.371377518199999</c:v>
                </c:pt>
                <c:pt idx="12">
                  <c:v>60.6965511079</c:v>
                </c:pt>
                <c:pt idx="13">
                  <c:v>61.090056994299999</c:v>
                </c:pt>
                <c:pt idx="14">
                  <c:v>61.572562995399998</c:v>
                </c:pt>
                <c:pt idx="15">
                  <c:v>62.092147654100003</c:v>
                </c:pt>
                <c:pt idx="16">
                  <c:v>62.6871855634</c:v>
                </c:pt>
                <c:pt idx="17">
                  <c:v>65.653001952899999</c:v>
                </c:pt>
                <c:pt idx="18">
                  <c:v>66.8860756001</c:v>
                </c:pt>
                <c:pt idx="19">
                  <c:v>61.922735616499999</c:v>
                </c:pt>
                <c:pt idx="20">
                  <c:v>60.678715552299998</c:v>
                </c:pt>
                <c:pt idx="21">
                  <c:v>60.657198714899998</c:v>
                </c:pt>
                <c:pt idx="22">
                  <c:v>60.954044932899997</c:v>
                </c:pt>
                <c:pt idx="23">
                  <c:v>61.350273322900001</c:v>
                </c:pt>
                <c:pt idx="24">
                  <c:v>61.849400362099999</c:v>
                </c:pt>
                <c:pt idx="25">
                  <c:v>62.436575257900003</c:v>
                </c:pt>
                <c:pt idx="26">
                  <c:v>65.719916237800007</c:v>
                </c:pt>
                <c:pt idx="27">
                  <c:v>64.190262602600001</c:v>
                </c:pt>
                <c:pt idx="28">
                  <c:v>60.899236911700001</c:v>
                </c:pt>
                <c:pt idx="29">
                  <c:v>60.210343125599998</c:v>
                </c:pt>
                <c:pt idx="30">
                  <c:v>60.283147302300002</c:v>
                </c:pt>
                <c:pt idx="31">
                  <c:v>60.5428879002</c:v>
                </c:pt>
                <c:pt idx="32">
                  <c:v>60.920905654000002</c:v>
                </c:pt>
                <c:pt idx="33">
                  <c:v>61.413366809700001</c:v>
                </c:pt>
                <c:pt idx="34">
                  <c:v>62.385889808500004</c:v>
                </c:pt>
                <c:pt idx="35">
                  <c:v>65.223624537899994</c:v>
                </c:pt>
                <c:pt idx="36">
                  <c:v>62.835176418400003</c:v>
                </c:pt>
                <c:pt idx="37">
                  <c:v>60.126779729399999</c:v>
                </c:pt>
                <c:pt idx="38">
                  <c:v>59.569405003200004</c:v>
                </c:pt>
                <c:pt idx="39">
                  <c:v>59.687447987500001</c:v>
                </c:pt>
                <c:pt idx="40">
                  <c:v>59.969889444300001</c:v>
                </c:pt>
                <c:pt idx="41">
                  <c:v>60.374686805400003</c:v>
                </c:pt>
                <c:pt idx="42">
                  <c:v>60.888764586199997</c:v>
                </c:pt>
                <c:pt idx="43">
                  <c:v>62.078044851800001</c:v>
                </c:pt>
                <c:pt idx="44">
                  <c:v>64.667271860499994</c:v>
                </c:pt>
                <c:pt idx="45">
                  <c:v>61.775319493700003</c:v>
                </c:pt>
                <c:pt idx="46">
                  <c:v>59.326450751300001</c:v>
                </c:pt>
                <c:pt idx="47">
                  <c:v>58.840313976399997</c:v>
                </c:pt>
                <c:pt idx="48">
                  <c:v>59.003846723000002</c:v>
                </c:pt>
                <c:pt idx="49">
                  <c:v>59.322781532</c:v>
                </c:pt>
                <c:pt idx="50">
                  <c:v>59.763145685300003</c:v>
                </c:pt>
                <c:pt idx="51">
                  <c:v>60.3050206574</c:v>
                </c:pt>
                <c:pt idx="52">
                  <c:v>61.658548133399997</c:v>
                </c:pt>
                <c:pt idx="53">
                  <c:v>64.053674246200003</c:v>
                </c:pt>
                <c:pt idx="54">
                  <c:v>60.766305858499997</c:v>
                </c:pt>
                <c:pt idx="55">
                  <c:v>58.481958008200003</c:v>
                </c:pt>
                <c:pt idx="56">
                  <c:v>58.052692380700002</c:v>
                </c:pt>
                <c:pt idx="57">
                  <c:v>58.262544242499999</c:v>
                </c:pt>
                <c:pt idx="58">
                  <c:v>58.622608744899999</c:v>
                </c:pt>
                <c:pt idx="59">
                  <c:v>59.102809757999999</c:v>
                </c:pt>
                <c:pt idx="60">
                  <c:v>59.675671602800001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5A-48EE-B160-CED1A9698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053712"/>
        <c:axId val="1641056624"/>
      </c:scatterChart>
      <c:valAx>
        <c:axId val="164105371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1056624"/>
        <c:crosses val="autoZero"/>
        <c:crossBetween val="midCat"/>
      </c:valAx>
      <c:valAx>
        <c:axId val="164105662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105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BAI!$F$1</c:f>
              <c:strCache>
                <c:ptCount val="1"/>
                <c:pt idx="0">
                  <c:v>BAU Ecol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BAI!$F$2:$F$62</c:f>
              <c:numCache>
                <c:formatCode>#,##0.00\ "%"</c:formatCode>
                <c:ptCount val="61"/>
                <c:pt idx="0">
                  <c:v>5.3268111360699999</c:v>
                </c:pt>
                <c:pt idx="1">
                  <c:v>22.021274960500001</c:v>
                </c:pt>
                <c:pt idx="2">
                  <c:v>31.540819007700001</c:v>
                </c:pt>
                <c:pt idx="3">
                  <c:v>19.693233239200001</c:v>
                </c:pt>
                <c:pt idx="4">
                  <c:v>11.8402886685</c:v>
                </c:pt>
                <c:pt idx="5">
                  <c:v>9.2288441023699992</c:v>
                </c:pt>
                <c:pt idx="6">
                  <c:v>8.1419025253800008</c:v>
                </c:pt>
                <c:pt idx="7">
                  <c:v>8.5348525527899994</c:v>
                </c:pt>
                <c:pt idx="8">
                  <c:v>13.158723329500001</c:v>
                </c:pt>
                <c:pt idx="9">
                  <c:v>12.3211746507</c:v>
                </c:pt>
                <c:pt idx="10">
                  <c:v>10.2255608352</c:v>
                </c:pt>
                <c:pt idx="11">
                  <c:v>9.3825826203799991</c:v>
                </c:pt>
                <c:pt idx="12">
                  <c:v>9.0116934828899993</c:v>
                </c:pt>
                <c:pt idx="13">
                  <c:v>8.8980440674099999</c:v>
                </c:pt>
                <c:pt idx="14">
                  <c:v>8.9440724635100004</c:v>
                </c:pt>
                <c:pt idx="15">
                  <c:v>9.0762331280699993</c:v>
                </c:pt>
                <c:pt idx="16">
                  <c:v>9.2340931919500004</c:v>
                </c:pt>
                <c:pt idx="17">
                  <c:v>9.3739411611999994</c:v>
                </c:pt>
                <c:pt idx="18">
                  <c:v>9.4710784205700005</c:v>
                </c:pt>
                <c:pt idx="19">
                  <c:v>9.5183623928600003</c:v>
                </c:pt>
                <c:pt idx="20">
                  <c:v>9.5218674628599995</c:v>
                </c:pt>
                <c:pt idx="21">
                  <c:v>9.4952262154400007</c:v>
                </c:pt>
                <c:pt idx="22">
                  <c:v>9.4541618067800002</c:v>
                </c:pt>
                <c:pt idx="23">
                  <c:v>9.4123231599199997</c:v>
                </c:pt>
                <c:pt idx="24">
                  <c:v>9.3789484699999992</c:v>
                </c:pt>
                <c:pt idx="25">
                  <c:v>9.3583003311299997</c:v>
                </c:pt>
                <c:pt idx="26">
                  <c:v>9.3504109352900002</c:v>
                </c:pt>
                <c:pt idx="27">
                  <c:v>9.3525192150999992</c:v>
                </c:pt>
                <c:pt idx="28">
                  <c:v>9.3606353475800006</c:v>
                </c:pt>
                <c:pt idx="29">
                  <c:v>9.3708391320299995</c:v>
                </c:pt>
                <c:pt idx="30">
                  <c:v>9.3801180209700004</c:v>
                </c:pt>
                <c:pt idx="31">
                  <c:v>9.3867199158099996</c:v>
                </c:pt>
                <c:pt idx="32">
                  <c:v>9.3901096293999995</c:v>
                </c:pt>
                <c:pt idx="33">
                  <c:v>9.3906730499699993</c:v>
                </c:pt>
                <c:pt idx="34">
                  <c:v>9.3893189331899993</c:v>
                </c:pt>
                <c:pt idx="35">
                  <c:v>9.3871002093999998</c:v>
                </c:pt>
                <c:pt idx="36">
                  <c:v>9.3849316053600003</c:v>
                </c:pt>
                <c:pt idx="37">
                  <c:v>9.3834334005900004</c:v>
                </c:pt>
                <c:pt idx="38">
                  <c:v>9.3828931926300001</c:v>
                </c:pt>
                <c:pt idx="39">
                  <c:v>9.3833141304699996</c:v>
                </c:pt>
                <c:pt idx="40">
                  <c:v>9.3845096030599997</c:v>
                </c:pt>
                <c:pt idx="41">
                  <c:v>9.3862076868400006</c:v>
                </c:pt>
                <c:pt idx="42">
                  <c:v>9.3881389906300008</c:v>
                </c:pt>
                <c:pt idx="43">
                  <c:v>9.3900941739300006</c:v>
                </c:pt>
                <c:pt idx="44">
                  <c:v>9.3919487664899997</c:v>
                </c:pt>
                <c:pt idx="45">
                  <c:v>9.3936609227200005</c:v>
                </c:pt>
                <c:pt idx="46">
                  <c:v>9.3952517887999996</c:v>
                </c:pt>
                <c:pt idx="47">
                  <c:v>9.3967787041200008</c:v>
                </c:pt>
                <c:pt idx="48">
                  <c:v>9.3983095704400004</c:v>
                </c:pt>
                <c:pt idx="49">
                  <c:v>9.3999036386399997</c:v>
                </c:pt>
                <c:pt idx="50">
                  <c:v>9.4016007683900007</c:v>
                </c:pt>
                <c:pt idx="51">
                  <c:v>9.4034186507499999</c:v>
                </c:pt>
                <c:pt idx="52">
                  <c:v>9.4053559010299992</c:v>
                </c:pt>
                <c:pt idx="53">
                  <c:v>9.4073983452499998</c:v>
                </c:pt>
                <c:pt idx="54">
                  <c:v>9.4095260279000001</c:v>
                </c:pt>
                <c:pt idx="55">
                  <c:v>9.4117191492399996</c:v>
                </c:pt>
                <c:pt idx="56">
                  <c:v>9.4139619844000002</c:v>
                </c:pt>
                <c:pt idx="57">
                  <c:v>9.4162446035199991</c:v>
                </c:pt>
                <c:pt idx="58">
                  <c:v>9.4185627578699993</c:v>
                </c:pt>
                <c:pt idx="59">
                  <c:v>9.4209165776500008</c:v>
                </c:pt>
                <c:pt idx="60">
                  <c:v>9.4233087698899993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D7-4EEF-B240-63414371E252}"/>
            </c:ext>
          </c:extLst>
        </c:ser>
        <c:ser>
          <c:idx val="1"/>
          <c:order val="1"/>
          <c:tx>
            <c:strRef>
              <c:f>BAI!$G$1</c:f>
              <c:strCache>
                <c:ptCount val="1"/>
                <c:pt idx="0">
                  <c:v>BAU-P Ecol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BAI!$G$2:$G$62</c:f>
              <c:numCache>
                <c:formatCode>#,##0.00\ "%"</c:formatCode>
                <c:ptCount val="61"/>
                <c:pt idx="0">
                  <c:v>6.2268246995299998</c:v>
                </c:pt>
                <c:pt idx="1">
                  <c:v>22.782195371899999</c:v>
                </c:pt>
                <c:pt idx="2">
                  <c:v>37.088028608999998</c:v>
                </c:pt>
                <c:pt idx="3">
                  <c:v>40.036944419599998</c:v>
                </c:pt>
                <c:pt idx="4">
                  <c:v>26.070592565799998</c:v>
                </c:pt>
                <c:pt idx="5">
                  <c:v>20.547831255999998</c:v>
                </c:pt>
                <c:pt idx="6">
                  <c:v>17.148577044700001</c:v>
                </c:pt>
                <c:pt idx="7">
                  <c:v>14.6840470854</c:v>
                </c:pt>
                <c:pt idx="8">
                  <c:v>13.411514525599999</c:v>
                </c:pt>
                <c:pt idx="9">
                  <c:v>17.5727333243</c:v>
                </c:pt>
                <c:pt idx="10">
                  <c:v>26.387980682799999</c:v>
                </c:pt>
                <c:pt idx="11">
                  <c:v>23.783464235099999</c:v>
                </c:pt>
                <c:pt idx="12">
                  <c:v>20.299089049399999</c:v>
                </c:pt>
                <c:pt idx="13">
                  <c:v>18.3366612244</c:v>
                </c:pt>
                <c:pt idx="14">
                  <c:v>16.258482450100001</c:v>
                </c:pt>
                <c:pt idx="15">
                  <c:v>14.3535537796</c:v>
                </c:pt>
                <c:pt idx="16">
                  <c:v>13.1974120856</c:v>
                </c:pt>
                <c:pt idx="17">
                  <c:v>16.346587518300002</c:v>
                </c:pt>
                <c:pt idx="18">
                  <c:v>24.751156032000001</c:v>
                </c:pt>
                <c:pt idx="19">
                  <c:v>23.821729317199999</c:v>
                </c:pt>
                <c:pt idx="20">
                  <c:v>20.4753580858</c:v>
                </c:pt>
                <c:pt idx="21">
                  <c:v>18.549653816199999</c:v>
                </c:pt>
                <c:pt idx="22">
                  <c:v>16.529919895300001</c:v>
                </c:pt>
                <c:pt idx="23">
                  <c:v>14.6875716384</c:v>
                </c:pt>
                <c:pt idx="24">
                  <c:v>13.538926405</c:v>
                </c:pt>
                <c:pt idx="25">
                  <c:v>15.7893071028</c:v>
                </c:pt>
                <c:pt idx="26">
                  <c:v>23.8412288229</c:v>
                </c:pt>
                <c:pt idx="27">
                  <c:v>24.118774794</c:v>
                </c:pt>
                <c:pt idx="28">
                  <c:v>20.797453059399999</c:v>
                </c:pt>
                <c:pt idx="29">
                  <c:v>18.892010662800001</c:v>
                </c:pt>
                <c:pt idx="30">
                  <c:v>16.915482754100001</c:v>
                </c:pt>
                <c:pt idx="31">
                  <c:v>15.0329499166</c:v>
                </c:pt>
                <c:pt idx="32">
                  <c:v>13.748102149199999</c:v>
                </c:pt>
                <c:pt idx="33">
                  <c:v>14.7192770599</c:v>
                </c:pt>
                <c:pt idx="34">
                  <c:v>22.552705263</c:v>
                </c:pt>
                <c:pt idx="35">
                  <c:v>24.912498584400002</c:v>
                </c:pt>
                <c:pt idx="36">
                  <c:v>21.254262375500002</c:v>
                </c:pt>
                <c:pt idx="37">
                  <c:v>19.2673356711</c:v>
                </c:pt>
                <c:pt idx="38">
                  <c:v>17.329785906200001</c:v>
                </c:pt>
                <c:pt idx="39">
                  <c:v>15.4018738301</c:v>
                </c:pt>
                <c:pt idx="40">
                  <c:v>13.971298861799999</c:v>
                </c:pt>
                <c:pt idx="41">
                  <c:v>13.8793916403</c:v>
                </c:pt>
                <c:pt idx="42">
                  <c:v>21.022861630000001</c:v>
                </c:pt>
                <c:pt idx="43">
                  <c:v>25.5045082687</c:v>
                </c:pt>
                <c:pt idx="44">
                  <c:v>21.811204262699999</c:v>
                </c:pt>
                <c:pt idx="45">
                  <c:v>19.6570677795</c:v>
                </c:pt>
                <c:pt idx="46">
                  <c:v>17.7677679271</c:v>
                </c:pt>
                <c:pt idx="47">
                  <c:v>15.803493669</c:v>
                </c:pt>
                <c:pt idx="48">
                  <c:v>14.2316503646</c:v>
                </c:pt>
                <c:pt idx="49">
                  <c:v>13.5505886778</c:v>
                </c:pt>
                <c:pt idx="50">
                  <c:v>19.3239225433</c:v>
                </c:pt>
                <c:pt idx="51">
                  <c:v>25.5736747081</c:v>
                </c:pt>
                <c:pt idx="52">
                  <c:v>22.4760086245</c:v>
                </c:pt>
                <c:pt idx="53">
                  <c:v>20.055061849800001</c:v>
                </c:pt>
                <c:pt idx="54">
                  <c:v>18.216966599700001</c:v>
                </c:pt>
                <c:pt idx="55">
                  <c:v>16.2326656141</c:v>
                </c:pt>
                <c:pt idx="56">
                  <c:v>14.5351673444</c:v>
                </c:pt>
                <c:pt idx="57">
                  <c:v>13.630548451799999</c:v>
                </c:pt>
                <c:pt idx="58">
                  <c:v>17.601134021899998</c:v>
                </c:pt>
                <c:pt idx="59">
                  <c:v>24.970452255200001</c:v>
                </c:pt>
                <c:pt idx="60">
                  <c:v>23.264244405100001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D7-4EEF-B240-63414371E252}"/>
            </c:ext>
          </c:extLst>
        </c:ser>
        <c:ser>
          <c:idx val="2"/>
          <c:order val="2"/>
          <c:tx>
            <c:strRef>
              <c:f>BAI!$H$1</c:f>
              <c:strCache>
                <c:ptCount val="1"/>
                <c:pt idx="0">
                  <c:v>BAU-W Ecol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BAI!$H$2:$H$62</c:f>
              <c:numCache>
                <c:formatCode>#,##0.00\ "%"</c:formatCode>
                <c:ptCount val="61"/>
                <c:pt idx="0">
                  <c:v>7.0006229577100001</c:v>
                </c:pt>
                <c:pt idx="1">
                  <c:v>23.684337710099999</c:v>
                </c:pt>
                <c:pt idx="2">
                  <c:v>30.313700386400001</c:v>
                </c:pt>
                <c:pt idx="3">
                  <c:v>18.2394971453</c:v>
                </c:pt>
                <c:pt idx="4">
                  <c:v>10.4571079581</c:v>
                </c:pt>
                <c:pt idx="5">
                  <c:v>8.2236087058099994</c:v>
                </c:pt>
                <c:pt idx="6">
                  <c:v>9.9301101710400008</c:v>
                </c:pt>
                <c:pt idx="7">
                  <c:v>13.977106661200001</c:v>
                </c:pt>
                <c:pt idx="8">
                  <c:v>11.616525250400001</c:v>
                </c:pt>
                <c:pt idx="9">
                  <c:v>8.9693160559499994</c:v>
                </c:pt>
                <c:pt idx="10">
                  <c:v>8.2638204609900008</c:v>
                </c:pt>
                <c:pt idx="11">
                  <c:v>8.2425360795600007</c:v>
                </c:pt>
                <c:pt idx="12">
                  <c:v>8.4685189998699997</c:v>
                </c:pt>
                <c:pt idx="13">
                  <c:v>8.7489432424799993</c:v>
                </c:pt>
                <c:pt idx="14">
                  <c:v>8.9842974602800005</c:v>
                </c:pt>
                <c:pt idx="15">
                  <c:v>9.1278092440199998</c:v>
                </c:pt>
                <c:pt idx="16">
                  <c:v>9.1707858731199998</c:v>
                </c:pt>
                <c:pt idx="17">
                  <c:v>9.1314189668899992</c:v>
                </c:pt>
                <c:pt idx="18">
                  <c:v>9.0426133135200004</c:v>
                </c:pt>
                <c:pt idx="19">
                  <c:v>8.9399930566800005</c:v>
                </c:pt>
                <c:pt idx="20">
                  <c:v>8.8524999946400005</c:v>
                </c:pt>
                <c:pt idx="21">
                  <c:v>8.7972384524099994</c:v>
                </c:pt>
                <c:pt idx="22">
                  <c:v>8.7787195177499999</c:v>
                </c:pt>
                <c:pt idx="23">
                  <c:v>8.7914042627499995</c:v>
                </c:pt>
                <c:pt idx="24">
                  <c:v>8.8239086654700003</c:v>
                </c:pt>
                <c:pt idx="25">
                  <c:v>8.8633501042299994</c:v>
                </c:pt>
                <c:pt idx="26">
                  <c:v>8.8987822568099997</c:v>
                </c:pt>
                <c:pt idx="27">
                  <c:v>8.9232064353599991</c:v>
                </c:pt>
                <c:pt idx="28">
                  <c:v>8.9341117812699995</c:v>
                </c:pt>
                <c:pt idx="29">
                  <c:v>8.9328285511800001</c:v>
                </c:pt>
                <c:pt idx="30">
                  <c:v>8.9231637588399995</c:v>
                </c:pt>
                <c:pt idx="31">
                  <c:v>8.9098288923400002</c:v>
                </c:pt>
                <c:pt idx="32">
                  <c:v>8.8970857625199997</c:v>
                </c:pt>
                <c:pt idx="33">
                  <c:v>8.88787240053</c:v>
                </c:pt>
                <c:pt idx="34">
                  <c:v>8.8834845779599991</c:v>
                </c:pt>
                <c:pt idx="35">
                  <c:v>8.8837334631299996</c:v>
                </c:pt>
                <c:pt idx="36">
                  <c:v>8.8874079477100008</c:v>
                </c:pt>
                <c:pt idx="37">
                  <c:v>8.8928465445999993</c:v>
                </c:pt>
                <c:pt idx="38">
                  <c:v>8.8984537698799997</c:v>
                </c:pt>
                <c:pt idx="39">
                  <c:v>8.9030560038700006</c:v>
                </c:pt>
                <c:pt idx="40">
                  <c:v>8.9060588953900002</c:v>
                </c:pt>
                <c:pt idx="41">
                  <c:v>8.9074250883600001</c:v>
                </c:pt>
                <c:pt idx="42">
                  <c:v>8.9075275667200007</c:v>
                </c:pt>
                <c:pt idx="43">
                  <c:v>8.9069475656999995</c:v>
                </c:pt>
                <c:pt idx="44">
                  <c:v>8.9062798729899999</c:v>
                </c:pt>
                <c:pt idx="45">
                  <c:v>8.9059891964000002</c:v>
                </c:pt>
                <c:pt idx="46">
                  <c:v>8.9063371252499994</c:v>
                </c:pt>
                <c:pt idx="47">
                  <c:v>8.9073771478499992</c:v>
                </c:pt>
                <c:pt idx="48">
                  <c:v>8.9089998764399994</c:v>
                </c:pt>
                <c:pt idx="49">
                  <c:v>8.9110038220700005</c:v>
                </c:pt>
                <c:pt idx="50">
                  <c:v>8.9131679728400002</c:v>
                </c:pt>
                <c:pt idx="51">
                  <c:v>8.91530865999</c:v>
                </c:pt>
                <c:pt idx="52">
                  <c:v>8.9173117825600006</c:v>
                </c:pt>
                <c:pt idx="53">
                  <c:v>8.9191397294100003</c:v>
                </c:pt>
                <c:pt idx="54">
                  <c:v>8.9208184475899994</c:v>
                </c:pt>
                <c:pt idx="55">
                  <c:v>8.9224132350200005</c:v>
                </c:pt>
                <c:pt idx="56">
                  <c:v>8.9240020832500004</c:v>
                </c:pt>
                <c:pt idx="57">
                  <c:v>8.9256535071500007</c:v>
                </c:pt>
                <c:pt idx="58">
                  <c:v>8.9274128083999997</c:v>
                </c:pt>
                <c:pt idx="59">
                  <c:v>8.9292976389399996</c:v>
                </c:pt>
                <c:pt idx="60">
                  <c:v>8.9313013059399999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7A-4142-A1CE-EA1732971DAD}"/>
            </c:ext>
          </c:extLst>
        </c:ser>
        <c:ser>
          <c:idx val="3"/>
          <c:order val="3"/>
          <c:tx>
            <c:strRef>
              <c:f>BAI!$I$1</c:f>
              <c:strCache>
                <c:ptCount val="1"/>
                <c:pt idx="0">
                  <c:v>BAU-PW Ecol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BAI!$I$2:$I$62</c:f>
              <c:numCache>
                <c:formatCode>#,##0.00\ "%"</c:formatCode>
                <c:ptCount val="61"/>
                <c:pt idx="0">
                  <c:v>8.0956530381</c:v>
                </c:pt>
                <c:pt idx="1">
                  <c:v>24.439187480699999</c:v>
                </c:pt>
                <c:pt idx="2">
                  <c:v>38.2383920901</c:v>
                </c:pt>
                <c:pt idx="3">
                  <c:v>39.592995151799997</c:v>
                </c:pt>
                <c:pt idx="4">
                  <c:v>25.990484587899999</c:v>
                </c:pt>
                <c:pt idx="5">
                  <c:v>21.267828481399999</c:v>
                </c:pt>
                <c:pt idx="6">
                  <c:v>18.9620960385</c:v>
                </c:pt>
                <c:pt idx="7">
                  <c:v>17.4505937373</c:v>
                </c:pt>
                <c:pt idx="8">
                  <c:v>16.920326919299999</c:v>
                </c:pt>
                <c:pt idx="9">
                  <c:v>21.732734042699999</c:v>
                </c:pt>
                <c:pt idx="10">
                  <c:v>26.881593678200002</c:v>
                </c:pt>
                <c:pt idx="11">
                  <c:v>23.397903170399999</c:v>
                </c:pt>
                <c:pt idx="12">
                  <c:v>21.2344460797</c:v>
                </c:pt>
                <c:pt idx="13">
                  <c:v>20.140856860900001</c:v>
                </c:pt>
                <c:pt idx="14">
                  <c:v>19.0804814267</c:v>
                </c:pt>
                <c:pt idx="15">
                  <c:v>18.066325827299998</c:v>
                </c:pt>
                <c:pt idx="16">
                  <c:v>17.4859225075</c:v>
                </c:pt>
                <c:pt idx="17">
                  <c:v>19.088183823800001</c:v>
                </c:pt>
                <c:pt idx="18">
                  <c:v>24.1638671913</c:v>
                </c:pt>
                <c:pt idx="19">
                  <c:v>23.9167427603</c:v>
                </c:pt>
                <c:pt idx="20">
                  <c:v>21.969834022200001</c:v>
                </c:pt>
                <c:pt idx="21">
                  <c:v>20.8886571215</c:v>
                </c:pt>
                <c:pt idx="22">
                  <c:v>19.950463271499999</c:v>
                </c:pt>
                <c:pt idx="23">
                  <c:v>18.9534596128</c:v>
                </c:pt>
                <c:pt idx="24">
                  <c:v>18.197840540400001</c:v>
                </c:pt>
                <c:pt idx="25">
                  <c:v>17.962480988900001</c:v>
                </c:pt>
                <c:pt idx="26">
                  <c:v>21.014122761100001</c:v>
                </c:pt>
                <c:pt idx="27">
                  <c:v>24.4681596882</c:v>
                </c:pt>
                <c:pt idx="28">
                  <c:v>23.013599092700002</c:v>
                </c:pt>
                <c:pt idx="29">
                  <c:v>21.7151664308</c:v>
                </c:pt>
                <c:pt idx="30">
                  <c:v>20.8234335462</c:v>
                </c:pt>
                <c:pt idx="31">
                  <c:v>19.875977927600001</c:v>
                </c:pt>
                <c:pt idx="32">
                  <c:v>18.918795919000001</c:v>
                </c:pt>
                <c:pt idx="33">
                  <c:v>18.240817223400001</c:v>
                </c:pt>
                <c:pt idx="34">
                  <c:v>18.131278738900001</c:v>
                </c:pt>
                <c:pt idx="35">
                  <c:v>21.581674016000001</c:v>
                </c:pt>
                <c:pt idx="36">
                  <c:v>24.385819464000001</c:v>
                </c:pt>
                <c:pt idx="37">
                  <c:v>22.836669065199999</c:v>
                </c:pt>
                <c:pt idx="38">
                  <c:v>21.6533081143</c:v>
                </c:pt>
                <c:pt idx="39">
                  <c:v>20.7945589467</c:v>
                </c:pt>
                <c:pt idx="40">
                  <c:v>19.842562217899999</c:v>
                </c:pt>
                <c:pt idx="41">
                  <c:v>18.904413653599999</c:v>
                </c:pt>
                <c:pt idx="42">
                  <c:v>18.265120300900001</c:v>
                </c:pt>
                <c:pt idx="43">
                  <c:v>18.261687443300001</c:v>
                </c:pt>
                <c:pt idx="44">
                  <c:v>21.8915744635</c:v>
                </c:pt>
                <c:pt idx="45">
                  <c:v>24.364571915599999</c:v>
                </c:pt>
                <c:pt idx="46">
                  <c:v>22.782931920500001</c:v>
                </c:pt>
                <c:pt idx="47">
                  <c:v>21.638206597100002</c:v>
                </c:pt>
                <c:pt idx="48">
                  <c:v>20.788733269200002</c:v>
                </c:pt>
                <c:pt idx="49">
                  <c:v>19.833085103799998</c:v>
                </c:pt>
                <c:pt idx="50">
                  <c:v>18.904639188899999</c:v>
                </c:pt>
                <c:pt idx="51">
                  <c:v>18.288220025299999</c:v>
                </c:pt>
                <c:pt idx="52">
                  <c:v>18.387391750999999</c:v>
                </c:pt>
                <c:pt idx="53">
                  <c:v>22.124632786799999</c:v>
                </c:pt>
                <c:pt idx="54">
                  <c:v>24.362836508800001</c:v>
                </c:pt>
                <c:pt idx="55">
                  <c:v>22.768303618899999</c:v>
                </c:pt>
                <c:pt idx="56">
                  <c:v>21.645426830200002</c:v>
                </c:pt>
                <c:pt idx="57">
                  <c:v>20.8008389785</c:v>
                </c:pt>
                <c:pt idx="58">
                  <c:v>19.8408202456</c:v>
                </c:pt>
                <c:pt idx="59">
                  <c:v>18.919155371799999</c:v>
                </c:pt>
                <c:pt idx="60">
                  <c:v>18.320573641199999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7A-4142-A1CE-EA1732971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053712"/>
        <c:axId val="1641056624"/>
      </c:scatterChart>
      <c:valAx>
        <c:axId val="164105371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1056624"/>
        <c:crosses val="autoZero"/>
        <c:crossBetween val="midCat"/>
      </c:valAx>
      <c:valAx>
        <c:axId val="1641056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105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BAI!$J$1</c:f>
              <c:strCache>
                <c:ptCount val="1"/>
                <c:pt idx="0">
                  <c:v>BAU SocI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BAI!$J$2:$J$62</c:f>
              <c:numCache>
                <c:formatCode>#,##0.00\ "%"</c:formatCode>
                <c:ptCount val="61"/>
                <c:pt idx="0">
                  <c:v>61.108540746000003</c:v>
                </c:pt>
                <c:pt idx="1">
                  <c:v>65.087398777999994</c:v>
                </c:pt>
                <c:pt idx="2">
                  <c:v>67.508311168500001</c:v>
                </c:pt>
                <c:pt idx="3">
                  <c:v>68.328551517700006</c:v>
                </c:pt>
                <c:pt idx="4">
                  <c:v>68.520531676900006</c:v>
                </c:pt>
                <c:pt idx="5">
                  <c:v>68.716196973799995</c:v>
                </c:pt>
                <c:pt idx="6">
                  <c:v>69.010421140199995</c:v>
                </c:pt>
                <c:pt idx="7">
                  <c:v>69.379572323999994</c:v>
                </c:pt>
                <c:pt idx="8">
                  <c:v>69.716856656100006</c:v>
                </c:pt>
                <c:pt idx="9">
                  <c:v>69.776944775800004</c:v>
                </c:pt>
                <c:pt idx="10">
                  <c:v>69.6133572034</c:v>
                </c:pt>
                <c:pt idx="11">
                  <c:v>69.414599266099998</c:v>
                </c:pt>
                <c:pt idx="12">
                  <c:v>69.257893729200006</c:v>
                </c:pt>
                <c:pt idx="13">
                  <c:v>69.164060130099998</c:v>
                </c:pt>
                <c:pt idx="14">
                  <c:v>69.127622569600007</c:v>
                </c:pt>
                <c:pt idx="15">
                  <c:v>69.131332047900003</c:v>
                </c:pt>
                <c:pt idx="16">
                  <c:v>69.155276563499996</c:v>
                </c:pt>
                <c:pt idx="17">
                  <c:v>69.182473880000003</c:v>
                </c:pt>
                <c:pt idx="18">
                  <c:v>69.201576706599994</c:v>
                </c:pt>
                <c:pt idx="19">
                  <c:v>69.207358013800004</c:v>
                </c:pt>
                <c:pt idx="20">
                  <c:v>69.199721895400003</c:v>
                </c:pt>
                <c:pt idx="21">
                  <c:v>69.181955772199998</c:v>
                </c:pt>
                <c:pt idx="22">
                  <c:v>69.158834447900006</c:v>
                </c:pt>
                <c:pt idx="23">
                  <c:v>69.1350257924</c:v>
                </c:pt>
                <c:pt idx="24">
                  <c:v>69.114050028700007</c:v>
                </c:pt>
                <c:pt idx="25">
                  <c:v>69.097846022699997</c:v>
                </c:pt>
                <c:pt idx="26">
                  <c:v>69.086842504000003</c:v>
                </c:pt>
                <c:pt idx="27">
                  <c:v>69.080348192900004</c:v>
                </c:pt>
                <c:pt idx="28">
                  <c:v>69.077063355899995</c:v>
                </c:pt>
                <c:pt idx="29">
                  <c:v>69.075555382700003</c:v>
                </c:pt>
                <c:pt idx="30">
                  <c:v>69.074604048200001</c:v>
                </c:pt>
                <c:pt idx="31">
                  <c:v>69.073384312599998</c:v>
                </c:pt>
                <c:pt idx="32">
                  <c:v>69.071501674199993</c:v>
                </c:pt>
                <c:pt idx="33">
                  <c:v>69.0689223121</c:v>
                </c:pt>
                <c:pt idx="34">
                  <c:v>69.065848862300001</c:v>
                </c:pt>
                <c:pt idx="35">
                  <c:v>69.0625873523</c:v>
                </c:pt>
                <c:pt idx="36">
                  <c:v>69.059437420600005</c:v>
                </c:pt>
                <c:pt idx="37">
                  <c:v>69.056622025999999</c:v>
                </c:pt>
                <c:pt idx="38">
                  <c:v>69.054258694200001</c:v>
                </c:pt>
                <c:pt idx="39">
                  <c:v>69.052364482100003</c:v>
                </c:pt>
                <c:pt idx="40">
                  <c:v>69.050882038599994</c:v>
                </c:pt>
                <c:pt idx="41">
                  <c:v>69.049713756800003</c:v>
                </c:pt>
                <c:pt idx="42">
                  <c:v>69.048753659599996</c:v>
                </c:pt>
                <c:pt idx="43">
                  <c:v>69.0479106879</c:v>
                </c:pt>
                <c:pt idx="44">
                  <c:v>69.047121127200001</c:v>
                </c:pt>
                <c:pt idx="45">
                  <c:v>69.046351078800001</c:v>
                </c:pt>
                <c:pt idx="46">
                  <c:v>69.045591775199995</c:v>
                </c:pt>
                <c:pt idx="47">
                  <c:v>69.044851172099996</c:v>
                </c:pt>
                <c:pt idx="48">
                  <c:v>69.044144906200003</c:v>
                </c:pt>
                <c:pt idx="49">
                  <c:v>69.043488805099997</c:v>
                </c:pt>
                <c:pt idx="50">
                  <c:v>69.042894052099996</c:v>
                </c:pt>
                <c:pt idx="51">
                  <c:v>69.0423651535</c:v>
                </c:pt>
                <c:pt idx="52">
                  <c:v>69.041900187400003</c:v>
                </c:pt>
                <c:pt idx="53">
                  <c:v>69.041492493199996</c:v>
                </c:pt>
                <c:pt idx="54">
                  <c:v>69.041132924300001</c:v>
                </c:pt>
                <c:pt idx="55">
                  <c:v>69.040811968900002</c:v>
                </c:pt>
                <c:pt idx="56">
                  <c:v>69.040521303700004</c:v>
                </c:pt>
                <c:pt idx="57">
                  <c:v>69.040254625200006</c:v>
                </c:pt>
                <c:pt idx="58">
                  <c:v>69.040007811600006</c:v>
                </c:pt>
                <c:pt idx="59">
                  <c:v>69.039778601899997</c:v>
                </c:pt>
                <c:pt idx="60">
                  <c:v>69.039566020899997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D7-4EEF-B240-63414371E252}"/>
            </c:ext>
          </c:extLst>
        </c:ser>
        <c:ser>
          <c:idx val="1"/>
          <c:order val="1"/>
          <c:tx>
            <c:strRef>
              <c:f>BAI!$K$1</c:f>
              <c:strCache>
                <c:ptCount val="1"/>
                <c:pt idx="0">
                  <c:v>BAU-P SocI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BAI!$K$2:$K$62</c:f>
              <c:numCache>
                <c:formatCode>#,##0.00\ "%"</c:formatCode>
                <c:ptCount val="61"/>
                <c:pt idx="0">
                  <c:v>61.224344434999999</c:v>
                </c:pt>
                <c:pt idx="1">
                  <c:v>65.177857198300003</c:v>
                </c:pt>
                <c:pt idx="2">
                  <c:v>67.965049800200006</c:v>
                </c:pt>
                <c:pt idx="3">
                  <c:v>69.425571232799996</c:v>
                </c:pt>
                <c:pt idx="4">
                  <c:v>69.534236096200004</c:v>
                </c:pt>
                <c:pt idx="5">
                  <c:v>69.200732517000006</c:v>
                </c:pt>
                <c:pt idx="6">
                  <c:v>68.927070972600006</c:v>
                </c:pt>
                <c:pt idx="7">
                  <c:v>68.904470558400007</c:v>
                </c:pt>
                <c:pt idx="8">
                  <c:v>69.196630105200001</c:v>
                </c:pt>
                <c:pt idx="9">
                  <c:v>69.760125225500005</c:v>
                </c:pt>
                <c:pt idx="10">
                  <c:v>70.233966786899998</c:v>
                </c:pt>
                <c:pt idx="11">
                  <c:v>70.095824277000006</c:v>
                </c:pt>
                <c:pt idx="12">
                  <c:v>69.547952149799997</c:v>
                </c:pt>
                <c:pt idx="13">
                  <c:v>68.9869092295</c:v>
                </c:pt>
                <c:pt idx="14">
                  <c:v>68.612700411999995</c:v>
                </c:pt>
                <c:pt idx="15">
                  <c:v>68.536868659500001</c:v>
                </c:pt>
                <c:pt idx="16">
                  <c:v>68.797202749199997</c:v>
                </c:pt>
                <c:pt idx="17">
                  <c:v>69.3491300827</c:v>
                </c:pt>
                <c:pt idx="18">
                  <c:v>69.878337529800007</c:v>
                </c:pt>
                <c:pt idx="19">
                  <c:v>69.862624981699994</c:v>
                </c:pt>
                <c:pt idx="20">
                  <c:v>69.411636621599996</c:v>
                </c:pt>
                <c:pt idx="21">
                  <c:v>68.909929705500005</c:v>
                </c:pt>
                <c:pt idx="22">
                  <c:v>68.562822230199998</c:v>
                </c:pt>
                <c:pt idx="23">
                  <c:v>68.487850314799999</c:v>
                </c:pt>
                <c:pt idx="24">
                  <c:v>68.728323430900005</c:v>
                </c:pt>
                <c:pt idx="25">
                  <c:v>69.249428133199999</c:v>
                </c:pt>
                <c:pt idx="26">
                  <c:v>69.787828159699998</c:v>
                </c:pt>
                <c:pt idx="27">
                  <c:v>69.831404301899994</c:v>
                </c:pt>
                <c:pt idx="28">
                  <c:v>69.415166726799995</c:v>
                </c:pt>
                <c:pt idx="29">
                  <c:v>68.913940167999996</c:v>
                </c:pt>
                <c:pt idx="30">
                  <c:v>68.542361769400003</c:v>
                </c:pt>
                <c:pt idx="31">
                  <c:v>68.4260473609</c:v>
                </c:pt>
                <c:pt idx="32">
                  <c:v>68.619367569800005</c:v>
                </c:pt>
                <c:pt idx="33">
                  <c:v>69.101381692499999</c:v>
                </c:pt>
                <c:pt idx="34">
                  <c:v>69.675146757600004</c:v>
                </c:pt>
                <c:pt idx="35">
                  <c:v>69.829042304599994</c:v>
                </c:pt>
                <c:pt idx="36">
                  <c:v>69.470419899600003</c:v>
                </c:pt>
                <c:pt idx="37">
                  <c:v>68.970900767700002</c:v>
                </c:pt>
                <c:pt idx="38">
                  <c:v>68.568969274799997</c:v>
                </c:pt>
                <c:pt idx="39">
                  <c:v>68.402238194399999</c:v>
                </c:pt>
                <c:pt idx="40">
                  <c:v>68.538754471199994</c:v>
                </c:pt>
                <c:pt idx="41">
                  <c:v>68.971663016400001</c:v>
                </c:pt>
                <c:pt idx="42">
                  <c:v>69.563531355500004</c:v>
                </c:pt>
                <c:pt idx="43">
                  <c:v>69.832300560600004</c:v>
                </c:pt>
                <c:pt idx="44">
                  <c:v>69.548194237600001</c:v>
                </c:pt>
                <c:pt idx="45">
                  <c:v>69.054748119899998</c:v>
                </c:pt>
                <c:pt idx="46">
                  <c:v>68.622039431499999</c:v>
                </c:pt>
                <c:pt idx="47">
                  <c:v>68.401573087499997</c:v>
                </c:pt>
                <c:pt idx="48">
                  <c:v>68.475955376599998</c:v>
                </c:pt>
                <c:pt idx="49">
                  <c:v>68.853192886299993</c:v>
                </c:pt>
                <c:pt idx="50">
                  <c:v>69.441611420399994</c:v>
                </c:pt>
                <c:pt idx="51">
                  <c:v>69.818765506800005</c:v>
                </c:pt>
                <c:pt idx="52">
                  <c:v>69.629647265499997</c:v>
                </c:pt>
                <c:pt idx="53">
                  <c:v>69.152122017300002</c:v>
                </c:pt>
                <c:pt idx="54">
                  <c:v>68.692874690599993</c:v>
                </c:pt>
                <c:pt idx="55">
                  <c:v>68.419781977300005</c:v>
                </c:pt>
                <c:pt idx="56">
                  <c:v>68.430092889299999</c:v>
                </c:pt>
                <c:pt idx="57">
                  <c:v>68.747352536899996</c:v>
                </c:pt>
                <c:pt idx="58">
                  <c:v>69.312214899200001</c:v>
                </c:pt>
                <c:pt idx="59">
                  <c:v>69.780804537600005</c:v>
                </c:pt>
                <c:pt idx="60">
                  <c:v>69.704492612999999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43-48FA-8A91-9D6D9E511A85}"/>
            </c:ext>
          </c:extLst>
        </c:ser>
        <c:ser>
          <c:idx val="2"/>
          <c:order val="2"/>
          <c:tx>
            <c:strRef>
              <c:f>BAI!$L$1</c:f>
              <c:strCache>
                <c:ptCount val="1"/>
                <c:pt idx="0">
                  <c:v>BAU-W SocI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BAI!$L$2:$L$62</c:f>
              <c:numCache>
                <c:formatCode>#,##0.00\ "%"</c:formatCode>
                <c:ptCount val="61"/>
                <c:pt idx="0">
                  <c:v>76.349086479999997</c:v>
                </c:pt>
                <c:pt idx="1">
                  <c:v>76.9339790075</c:v>
                </c:pt>
                <c:pt idx="2">
                  <c:v>77.282090659600001</c:v>
                </c:pt>
                <c:pt idx="3">
                  <c:v>77.409619787799997</c:v>
                </c:pt>
                <c:pt idx="4">
                  <c:v>77.460244051800004</c:v>
                </c:pt>
                <c:pt idx="5">
                  <c:v>77.521352730900006</c:v>
                </c:pt>
                <c:pt idx="6">
                  <c:v>77.5964619712</c:v>
                </c:pt>
                <c:pt idx="7">
                  <c:v>77.655791611799998</c:v>
                </c:pt>
                <c:pt idx="8">
                  <c:v>77.664925105999998</c:v>
                </c:pt>
                <c:pt idx="9">
                  <c:v>77.643813993400002</c:v>
                </c:pt>
                <c:pt idx="10">
                  <c:v>77.622585067100005</c:v>
                </c:pt>
                <c:pt idx="11">
                  <c:v>77.609393013000002</c:v>
                </c:pt>
                <c:pt idx="12">
                  <c:v>77.603109277000001</c:v>
                </c:pt>
                <c:pt idx="13">
                  <c:v>77.600072599599997</c:v>
                </c:pt>
                <c:pt idx="14">
                  <c:v>77.596816367399995</c:v>
                </c:pt>
                <c:pt idx="15">
                  <c:v>77.591146537</c:v>
                </c:pt>
                <c:pt idx="16">
                  <c:v>77.582380076000007</c:v>
                </c:pt>
                <c:pt idx="17">
                  <c:v>77.571099423000007</c:v>
                </c:pt>
                <c:pt idx="18">
                  <c:v>77.558652004300001</c:v>
                </c:pt>
                <c:pt idx="19">
                  <c:v>77.546587238000001</c:v>
                </c:pt>
                <c:pt idx="20">
                  <c:v>77.536188729200006</c:v>
                </c:pt>
                <c:pt idx="21">
                  <c:v>77.528198880700003</c:v>
                </c:pt>
                <c:pt idx="22">
                  <c:v>77.522757270200003</c:v>
                </c:pt>
                <c:pt idx="23">
                  <c:v>77.519509493499996</c:v>
                </c:pt>
                <c:pt idx="24">
                  <c:v>77.517809397999997</c:v>
                </c:pt>
                <c:pt idx="25">
                  <c:v>77.516936650999995</c:v>
                </c:pt>
                <c:pt idx="26">
                  <c:v>77.516272177999994</c:v>
                </c:pt>
                <c:pt idx="27">
                  <c:v>77.5154020688</c:v>
                </c:pt>
                <c:pt idx="28">
                  <c:v>77.514146100000005</c:v>
                </c:pt>
                <c:pt idx="29">
                  <c:v>77.512525290900001</c:v>
                </c:pt>
                <c:pt idx="30">
                  <c:v>77.510692684099993</c:v>
                </c:pt>
                <c:pt idx="31">
                  <c:v>77.508853381899996</c:v>
                </c:pt>
                <c:pt idx="32">
                  <c:v>77.507195407899999</c:v>
                </c:pt>
                <c:pt idx="33">
                  <c:v>77.5058446476</c:v>
                </c:pt>
                <c:pt idx="34">
                  <c:v>77.504847807000004</c:v>
                </c:pt>
                <c:pt idx="35">
                  <c:v>77.504179536300001</c:v>
                </c:pt>
                <c:pt idx="36">
                  <c:v>77.503765159099999</c:v>
                </c:pt>
                <c:pt idx="37">
                  <c:v>77.503509146900001</c:v>
                </c:pt>
                <c:pt idx="38">
                  <c:v>77.503320929699996</c:v>
                </c:pt>
                <c:pt idx="39">
                  <c:v>77.503132661999999</c:v>
                </c:pt>
                <c:pt idx="40">
                  <c:v>77.502906985999999</c:v>
                </c:pt>
                <c:pt idx="41">
                  <c:v>77.502635732200005</c:v>
                </c:pt>
                <c:pt idx="42">
                  <c:v>77.502332358199993</c:v>
                </c:pt>
                <c:pt idx="43">
                  <c:v>77.502021611800004</c:v>
                </c:pt>
                <c:pt idx="44">
                  <c:v>77.501729588700002</c:v>
                </c:pt>
                <c:pt idx="45">
                  <c:v>77.501476387699995</c:v>
                </c:pt>
                <c:pt idx="46">
                  <c:v>77.501272341800004</c:v>
                </c:pt>
                <c:pt idx="47">
                  <c:v>77.501117697500007</c:v>
                </c:pt>
                <c:pt idx="48">
                  <c:v>77.5010048364</c:v>
                </c:pt>
                <c:pt idx="49">
                  <c:v>77.500921795400004</c:v>
                </c:pt>
                <c:pt idx="50">
                  <c:v>77.500855883900002</c:v>
                </c:pt>
                <c:pt idx="51">
                  <c:v>77.500796512999997</c:v>
                </c:pt>
                <c:pt idx="52">
                  <c:v>77.500736786199994</c:v>
                </c:pt>
                <c:pt idx="53">
                  <c:v>77.500673819200003</c:v>
                </c:pt>
                <c:pt idx="54">
                  <c:v>77.500608062799998</c:v>
                </c:pt>
                <c:pt idx="55">
                  <c:v>77.500542062500003</c:v>
                </c:pt>
                <c:pt idx="56">
                  <c:v>77.500479099200007</c:v>
                </c:pt>
                <c:pt idx="57">
                  <c:v>77.500422059300007</c:v>
                </c:pt>
                <c:pt idx="58">
                  <c:v>77.500372732200006</c:v>
                </c:pt>
                <c:pt idx="59">
                  <c:v>77.500331578399994</c:v>
                </c:pt>
                <c:pt idx="60">
                  <c:v>77.500297888199995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43-48FA-8A91-9D6D9E511A85}"/>
            </c:ext>
          </c:extLst>
        </c:ser>
        <c:ser>
          <c:idx val="3"/>
          <c:order val="3"/>
          <c:tx>
            <c:strRef>
              <c:f>BAI!$M$1</c:f>
              <c:strCache>
                <c:ptCount val="1"/>
                <c:pt idx="0">
                  <c:v>BAU-PW SocI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BAI!$M$2:$M$62</c:f>
              <c:numCache>
                <c:formatCode>#,##0.00\ "%"</c:formatCode>
                <c:ptCount val="61"/>
                <c:pt idx="0">
                  <c:v>69.439672481200006</c:v>
                </c:pt>
                <c:pt idx="1">
                  <c:v>71.573055980899994</c:v>
                </c:pt>
                <c:pt idx="2">
                  <c:v>73.068042638199998</c:v>
                </c:pt>
                <c:pt idx="3">
                  <c:v>73.829424017500003</c:v>
                </c:pt>
                <c:pt idx="4">
                  <c:v>73.898044725700004</c:v>
                </c:pt>
                <c:pt idx="5">
                  <c:v>73.769373478299997</c:v>
                </c:pt>
                <c:pt idx="6">
                  <c:v>73.685635048600005</c:v>
                </c:pt>
                <c:pt idx="7">
                  <c:v>73.716699981999994</c:v>
                </c:pt>
                <c:pt idx="8">
                  <c:v>73.876360931600004</c:v>
                </c:pt>
                <c:pt idx="9">
                  <c:v>74.127299986200001</c:v>
                </c:pt>
                <c:pt idx="10">
                  <c:v>74.272658686100002</c:v>
                </c:pt>
                <c:pt idx="11">
                  <c:v>74.147959528200005</c:v>
                </c:pt>
                <c:pt idx="12">
                  <c:v>73.905532155200007</c:v>
                </c:pt>
                <c:pt idx="13">
                  <c:v>73.686602990699996</c:v>
                </c:pt>
                <c:pt idx="14">
                  <c:v>73.551037850300006</c:v>
                </c:pt>
                <c:pt idx="15">
                  <c:v>73.526205273399995</c:v>
                </c:pt>
                <c:pt idx="16">
                  <c:v>73.619724141800006</c:v>
                </c:pt>
                <c:pt idx="17">
                  <c:v>73.813639526900005</c:v>
                </c:pt>
                <c:pt idx="18">
                  <c:v>74.006109263499994</c:v>
                </c:pt>
                <c:pt idx="19">
                  <c:v>74.0133803847</c:v>
                </c:pt>
                <c:pt idx="20">
                  <c:v>73.862162889499999</c:v>
                </c:pt>
                <c:pt idx="21">
                  <c:v>73.682662905699999</c:v>
                </c:pt>
                <c:pt idx="22">
                  <c:v>73.544454644799998</c:v>
                </c:pt>
                <c:pt idx="23">
                  <c:v>73.484277112100003</c:v>
                </c:pt>
                <c:pt idx="24">
                  <c:v>73.521577681799997</c:v>
                </c:pt>
                <c:pt idx="25">
                  <c:v>73.654438799199994</c:v>
                </c:pt>
                <c:pt idx="26">
                  <c:v>73.850825386899999</c:v>
                </c:pt>
                <c:pt idx="27">
                  <c:v>73.977708160800006</c:v>
                </c:pt>
                <c:pt idx="28">
                  <c:v>73.920793801399995</c:v>
                </c:pt>
                <c:pt idx="29">
                  <c:v>73.762232310200005</c:v>
                </c:pt>
                <c:pt idx="30">
                  <c:v>73.597893385399999</c:v>
                </c:pt>
                <c:pt idx="31">
                  <c:v>73.480755826500001</c:v>
                </c:pt>
                <c:pt idx="32">
                  <c:v>73.442800689600006</c:v>
                </c:pt>
                <c:pt idx="33">
                  <c:v>73.499765908499995</c:v>
                </c:pt>
                <c:pt idx="34">
                  <c:v>73.646317987800003</c:v>
                </c:pt>
                <c:pt idx="35">
                  <c:v>73.843306025000004</c:v>
                </c:pt>
                <c:pt idx="36">
                  <c:v>73.950271883499994</c:v>
                </c:pt>
                <c:pt idx="37">
                  <c:v>73.879490699399994</c:v>
                </c:pt>
                <c:pt idx="38">
                  <c:v>73.721918954700001</c:v>
                </c:pt>
                <c:pt idx="39">
                  <c:v>73.564617624099995</c:v>
                </c:pt>
                <c:pt idx="40">
                  <c:v>73.456720946299995</c:v>
                </c:pt>
                <c:pt idx="41">
                  <c:v>73.4287525716</c:v>
                </c:pt>
                <c:pt idx="42">
                  <c:v>73.494786487200003</c:v>
                </c:pt>
                <c:pt idx="43">
                  <c:v>73.6478284035</c:v>
                </c:pt>
                <c:pt idx="44">
                  <c:v>73.844512674599997</c:v>
                </c:pt>
                <c:pt idx="45">
                  <c:v>73.940692492599993</c:v>
                </c:pt>
                <c:pt idx="46">
                  <c:v>73.862171767600003</c:v>
                </c:pt>
                <c:pt idx="47">
                  <c:v>73.703932701499994</c:v>
                </c:pt>
                <c:pt idx="48">
                  <c:v>73.549440890900001</c:v>
                </c:pt>
                <c:pt idx="49">
                  <c:v>73.446111513600002</c:v>
                </c:pt>
                <c:pt idx="50">
                  <c:v>73.423613219200007</c:v>
                </c:pt>
                <c:pt idx="51">
                  <c:v>73.4949683432</c:v>
                </c:pt>
                <c:pt idx="52">
                  <c:v>73.652094404799996</c:v>
                </c:pt>
                <c:pt idx="53">
                  <c:v>73.848091734500002</c:v>
                </c:pt>
                <c:pt idx="54">
                  <c:v>73.9364957369</c:v>
                </c:pt>
                <c:pt idx="55">
                  <c:v>73.852611944200007</c:v>
                </c:pt>
                <c:pt idx="56">
                  <c:v>73.693817954699995</c:v>
                </c:pt>
                <c:pt idx="57">
                  <c:v>73.541246121200004</c:v>
                </c:pt>
                <c:pt idx="58">
                  <c:v>73.441132592599999</c:v>
                </c:pt>
                <c:pt idx="59">
                  <c:v>73.422552761199995</c:v>
                </c:pt>
                <c:pt idx="60">
                  <c:v>73.497740323900004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43-48FA-8A91-9D6D9E51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053712"/>
        <c:axId val="1641056624"/>
      </c:scatterChart>
      <c:valAx>
        <c:axId val="164105371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1056624"/>
        <c:crosses val="autoZero"/>
        <c:crossBetween val="midCat"/>
      </c:valAx>
      <c:valAx>
        <c:axId val="164105662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105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BAI!$N$1</c:f>
              <c:strCache>
                <c:ptCount val="1"/>
                <c:pt idx="0">
                  <c:v>BAU CPI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BAI!$N$2:$N$62</c:f>
              <c:numCache>
                <c:formatCode>#,##0.00\ "%"</c:formatCode>
                <c:ptCount val="61"/>
                <c:pt idx="0">
                  <c:v>56.7519570722</c:v>
                </c:pt>
                <c:pt idx="1">
                  <c:v>60.275445516399998</c:v>
                </c:pt>
                <c:pt idx="2">
                  <c:v>61.244280630200002</c:v>
                </c:pt>
                <c:pt idx="3">
                  <c:v>56.581161609500001</c:v>
                </c:pt>
                <c:pt idx="4">
                  <c:v>56.421059661000001</c:v>
                </c:pt>
                <c:pt idx="5">
                  <c:v>56.956124858599999</c:v>
                </c:pt>
                <c:pt idx="6">
                  <c:v>57.3927397255</c:v>
                </c:pt>
                <c:pt idx="7">
                  <c:v>58.085323064900003</c:v>
                </c:pt>
                <c:pt idx="8">
                  <c:v>59.156130351800002</c:v>
                </c:pt>
                <c:pt idx="9">
                  <c:v>57.897529566199999</c:v>
                </c:pt>
                <c:pt idx="10">
                  <c:v>57.3411494972</c:v>
                </c:pt>
                <c:pt idx="11">
                  <c:v>57.218439003699999</c:v>
                </c:pt>
                <c:pt idx="12">
                  <c:v>57.206597907999999</c:v>
                </c:pt>
                <c:pt idx="13">
                  <c:v>57.207897314599997</c:v>
                </c:pt>
                <c:pt idx="14">
                  <c:v>57.199354690600003</c:v>
                </c:pt>
                <c:pt idx="15">
                  <c:v>57.181529179199998</c:v>
                </c:pt>
                <c:pt idx="16">
                  <c:v>57.159442909500001</c:v>
                </c:pt>
                <c:pt idx="17">
                  <c:v>57.136346719700001</c:v>
                </c:pt>
                <c:pt idx="18">
                  <c:v>57.112993166099997</c:v>
                </c:pt>
                <c:pt idx="19">
                  <c:v>57.088798870399998</c:v>
                </c:pt>
                <c:pt idx="20">
                  <c:v>57.063085139999998</c:v>
                </c:pt>
                <c:pt idx="21">
                  <c:v>57.035727750500001</c:v>
                </c:pt>
                <c:pt idx="22">
                  <c:v>57.007212184399997</c:v>
                </c:pt>
                <c:pt idx="23">
                  <c:v>56.978358622000002</c:v>
                </c:pt>
                <c:pt idx="24">
                  <c:v>56.949985422499999</c:v>
                </c:pt>
                <c:pt idx="25">
                  <c:v>56.922671094999998</c:v>
                </c:pt>
                <c:pt idx="26">
                  <c:v>56.896661219800002</c:v>
                </c:pt>
                <c:pt idx="27">
                  <c:v>56.871895578100002</c:v>
                </c:pt>
                <c:pt idx="28">
                  <c:v>56.848104183899999</c:v>
                </c:pt>
                <c:pt idx="29">
                  <c:v>56.824922942999997</c:v>
                </c:pt>
                <c:pt idx="30">
                  <c:v>56.801994059800002</c:v>
                </c:pt>
                <c:pt idx="31">
                  <c:v>56.779032985900002</c:v>
                </c:pt>
                <c:pt idx="32">
                  <c:v>56.755857918799997</c:v>
                </c:pt>
                <c:pt idx="33">
                  <c:v>56.732387785999997</c:v>
                </c:pt>
                <c:pt idx="34">
                  <c:v>56.708619812999999</c:v>
                </c:pt>
                <c:pt idx="35">
                  <c:v>56.684598643199998</c:v>
                </c:pt>
                <c:pt idx="36">
                  <c:v>56.660386744599997</c:v>
                </c:pt>
                <c:pt idx="37">
                  <c:v>56.636042100899999</c:v>
                </c:pt>
                <c:pt idx="38">
                  <c:v>56.611605378699998</c:v>
                </c:pt>
                <c:pt idx="39">
                  <c:v>56.587095860200002</c:v>
                </c:pt>
                <c:pt idx="40">
                  <c:v>56.562513765299997</c:v>
                </c:pt>
                <c:pt idx="41">
                  <c:v>56.537846085300004</c:v>
                </c:pt>
                <c:pt idx="42">
                  <c:v>56.513073356200003</c:v>
                </c:pt>
                <c:pt idx="43">
                  <c:v>56.488175550500003</c:v>
                </c:pt>
                <c:pt idx="44">
                  <c:v>56.4631361191</c:v>
                </c:pt>
                <c:pt idx="45">
                  <c:v>56.437943965700001</c:v>
                </c:pt>
                <c:pt idx="46">
                  <c:v>56.412593656200002</c:v>
                </c:pt>
                <c:pt idx="47">
                  <c:v>56.387084435600002</c:v>
                </c:pt>
                <c:pt idx="48">
                  <c:v>56.361418671999999</c:v>
                </c:pt>
                <c:pt idx="49">
                  <c:v>56.335600250399999</c:v>
                </c:pt>
                <c:pt idx="50">
                  <c:v>56.309633259500004</c:v>
                </c:pt>
                <c:pt idx="51">
                  <c:v>56.283521132799997</c:v>
                </c:pt>
                <c:pt idx="52">
                  <c:v>56.257266251200001</c:v>
                </c:pt>
                <c:pt idx="53">
                  <c:v>56.2308699182</c:v>
                </c:pt>
                <c:pt idx="54">
                  <c:v>56.204332571999998</c:v>
                </c:pt>
                <c:pt idx="55">
                  <c:v>56.177654103599998</c:v>
                </c:pt>
                <c:pt idx="56">
                  <c:v>56.150834171500001</c:v>
                </c:pt>
                <c:pt idx="57">
                  <c:v>56.123872450100002</c:v>
                </c:pt>
                <c:pt idx="58">
                  <c:v>56.096768780200001</c:v>
                </c:pt>
                <c:pt idx="59">
                  <c:v>56.069523227600001</c:v>
                </c:pt>
                <c:pt idx="60">
                  <c:v>56.042136067199998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D7-4EEF-B240-63414371E252}"/>
            </c:ext>
          </c:extLst>
        </c:ser>
        <c:ser>
          <c:idx val="1"/>
          <c:order val="1"/>
          <c:tx>
            <c:strRef>
              <c:f>BAI!$O$1</c:f>
              <c:strCache>
                <c:ptCount val="1"/>
                <c:pt idx="0">
                  <c:v>BAU-P CPI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BAI!$O$2:$O$62</c:f>
              <c:numCache>
                <c:formatCode>#,##0.00\ "%"</c:formatCode>
                <c:ptCount val="61"/>
                <c:pt idx="0">
                  <c:v>56.720317286700002</c:v>
                </c:pt>
                <c:pt idx="1">
                  <c:v>59.027107128300003</c:v>
                </c:pt>
                <c:pt idx="2">
                  <c:v>71.7780866704</c:v>
                </c:pt>
                <c:pt idx="3">
                  <c:v>63.1183892293</c:v>
                </c:pt>
                <c:pt idx="4">
                  <c:v>58.310109494000002</c:v>
                </c:pt>
                <c:pt idx="5">
                  <c:v>57.820617912199999</c:v>
                </c:pt>
                <c:pt idx="6">
                  <c:v>57.795163633100003</c:v>
                </c:pt>
                <c:pt idx="7">
                  <c:v>57.9790111127</c:v>
                </c:pt>
                <c:pt idx="8">
                  <c:v>58.416246914799999</c:v>
                </c:pt>
                <c:pt idx="9">
                  <c:v>61.428812925400003</c:v>
                </c:pt>
                <c:pt idx="10">
                  <c:v>63.591788052200002</c:v>
                </c:pt>
                <c:pt idx="11">
                  <c:v>59.813037689200002</c:v>
                </c:pt>
                <c:pt idx="12">
                  <c:v>58.434817889900003</c:v>
                </c:pt>
                <c:pt idx="13">
                  <c:v>57.906901568199999</c:v>
                </c:pt>
                <c:pt idx="14">
                  <c:v>57.612728731899999</c:v>
                </c:pt>
                <c:pt idx="15">
                  <c:v>57.589290272500001</c:v>
                </c:pt>
                <c:pt idx="16">
                  <c:v>57.904253036199997</c:v>
                </c:pt>
                <c:pt idx="17">
                  <c:v>60.424849993800002</c:v>
                </c:pt>
                <c:pt idx="18">
                  <c:v>62.8591610832</c:v>
                </c:pt>
                <c:pt idx="19">
                  <c:v>59.662798241499999</c:v>
                </c:pt>
                <c:pt idx="20">
                  <c:v>58.284813012900003</c:v>
                </c:pt>
                <c:pt idx="21">
                  <c:v>57.744814304499997</c:v>
                </c:pt>
                <c:pt idx="22">
                  <c:v>57.460432129899999</c:v>
                </c:pt>
                <c:pt idx="23">
                  <c:v>57.446691040499999</c:v>
                </c:pt>
                <c:pt idx="24">
                  <c:v>57.751377208699999</c:v>
                </c:pt>
                <c:pt idx="25">
                  <c:v>59.871082966000003</c:v>
                </c:pt>
                <c:pt idx="26">
                  <c:v>62.464265433999998</c:v>
                </c:pt>
                <c:pt idx="27">
                  <c:v>59.6578813952</c:v>
                </c:pt>
                <c:pt idx="28">
                  <c:v>58.207476770600003</c:v>
                </c:pt>
                <c:pt idx="29">
                  <c:v>57.626585057200003</c:v>
                </c:pt>
                <c:pt idx="30">
                  <c:v>57.315930260899997</c:v>
                </c:pt>
                <c:pt idx="31">
                  <c:v>57.264320222499997</c:v>
                </c:pt>
                <c:pt idx="32">
                  <c:v>57.522161478299999</c:v>
                </c:pt>
                <c:pt idx="33">
                  <c:v>59.0969735961</c:v>
                </c:pt>
                <c:pt idx="34">
                  <c:v>62.134466677799999</c:v>
                </c:pt>
                <c:pt idx="35">
                  <c:v>59.887785110400003</c:v>
                </c:pt>
                <c:pt idx="36">
                  <c:v>58.147654953500002</c:v>
                </c:pt>
                <c:pt idx="37">
                  <c:v>57.489067759900003</c:v>
                </c:pt>
                <c:pt idx="38">
                  <c:v>57.155912548899998</c:v>
                </c:pt>
                <c:pt idx="39">
                  <c:v>57.071060427299997</c:v>
                </c:pt>
                <c:pt idx="40">
                  <c:v>57.2847359939</c:v>
                </c:pt>
                <c:pt idx="41">
                  <c:v>58.329904490700002</c:v>
                </c:pt>
                <c:pt idx="42">
                  <c:v>61.620871239099998</c:v>
                </c:pt>
                <c:pt idx="43">
                  <c:v>60.506179991300002</c:v>
                </c:pt>
                <c:pt idx="44">
                  <c:v>58.1199731695</c:v>
                </c:pt>
                <c:pt idx="45">
                  <c:v>57.342241657400002</c:v>
                </c:pt>
                <c:pt idx="46">
                  <c:v>56.9859048848</c:v>
                </c:pt>
                <c:pt idx="47">
                  <c:v>56.8687648776</c:v>
                </c:pt>
                <c:pt idx="48">
                  <c:v>57.039089750099997</c:v>
                </c:pt>
                <c:pt idx="49">
                  <c:v>57.620061250900001</c:v>
                </c:pt>
                <c:pt idx="50">
                  <c:v>60.899790960899999</c:v>
                </c:pt>
                <c:pt idx="51">
                  <c:v>61.052803287700002</c:v>
                </c:pt>
                <c:pt idx="52">
                  <c:v>58.135648528200001</c:v>
                </c:pt>
                <c:pt idx="53">
                  <c:v>57.186365103200004</c:v>
                </c:pt>
                <c:pt idx="54">
                  <c:v>56.804502065299999</c:v>
                </c:pt>
                <c:pt idx="55">
                  <c:v>56.658119036999999</c:v>
                </c:pt>
                <c:pt idx="56">
                  <c:v>56.788170410799999</c:v>
                </c:pt>
                <c:pt idx="57">
                  <c:v>57.218985394199997</c:v>
                </c:pt>
                <c:pt idx="58">
                  <c:v>60.037319676599999</c:v>
                </c:pt>
                <c:pt idx="59">
                  <c:v>61.362320948099999</c:v>
                </c:pt>
                <c:pt idx="60">
                  <c:v>58.211606812600003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D7-4EEF-B240-63414371E252}"/>
            </c:ext>
          </c:extLst>
        </c:ser>
        <c:ser>
          <c:idx val="2"/>
          <c:order val="2"/>
          <c:tx>
            <c:strRef>
              <c:f>BAI!$P$1</c:f>
              <c:strCache>
                <c:ptCount val="1"/>
                <c:pt idx="0">
                  <c:v>BAU-W CPI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BAI!$P$2:$P$62</c:f>
              <c:numCache>
                <c:formatCode>#,##0.00\ "%"</c:formatCode>
                <c:ptCount val="61"/>
                <c:pt idx="0">
                  <c:v>64.803179267199994</c:v>
                </c:pt>
                <c:pt idx="1">
                  <c:v>66.826555511500004</c:v>
                </c:pt>
                <c:pt idx="2">
                  <c:v>65.583485193900003</c:v>
                </c:pt>
                <c:pt idx="3">
                  <c:v>61.189716775400001</c:v>
                </c:pt>
                <c:pt idx="4">
                  <c:v>61.152959602700001</c:v>
                </c:pt>
                <c:pt idx="5">
                  <c:v>61.795793909300002</c:v>
                </c:pt>
                <c:pt idx="6">
                  <c:v>63.047882080400001</c:v>
                </c:pt>
                <c:pt idx="7">
                  <c:v>63.662930603200003</c:v>
                </c:pt>
                <c:pt idx="8">
                  <c:v>62.084465169600001</c:v>
                </c:pt>
                <c:pt idx="9">
                  <c:v>61.651202390100003</c:v>
                </c:pt>
                <c:pt idx="10">
                  <c:v>61.723523533600002</c:v>
                </c:pt>
                <c:pt idx="11">
                  <c:v>61.858731796599997</c:v>
                </c:pt>
                <c:pt idx="12">
                  <c:v>61.940686622699999</c:v>
                </c:pt>
                <c:pt idx="13">
                  <c:v>61.9624976371</c:v>
                </c:pt>
                <c:pt idx="14">
                  <c:v>61.945353703400002</c:v>
                </c:pt>
                <c:pt idx="15">
                  <c:v>61.910104233399998</c:v>
                </c:pt>
                <c:pt idx="16">
                  <c:v>61.870280844200003</c:v>
                </c:pt>
                <c:pt idx="17">
                  <c:v>61.832786887799998</c:v>
                </c:pt>
                <c:pt idx="18">
                  <c:v>61.800246270300001</c:v>
                </c:pt>
                <c:pt idx="19">
                  <c:v>61.772937965899999</c:v>
                </c:pt>
                <c:pt idx="20">
                  <c:v>61.750007902999997</c:v>
                </c:pt>
                <c:pt idx="21">
                  <c:v>61.730172225300002</c:v>
                </c:pt>
                <c:pt idx="22">
                  <c:v>61.712124672199998</c:v>
                </c:pt>
                <c:pt idx="23">
                  <c:v>61.694760924100002</c:v>
                </c:pt>
                <c:pt idx="24">
                  <c:v>61.6772775727</c:v>
                </c:pt>
                <c:pt idx="25">
                  <c:v>61.659188033500001</c:v>
                </c:pt>
                <c:pt idx="26">
                  <c:v>61.640289533800001</c:v>
                </c:pt>
                <c:pt idx="27">
                  <c:v>61.620602941800001</c:v>
                </c:pt>
                <c:pt idx="28">
                  <c:v>61.600297007099996</c:v>
                </c:pt>
                <c:pt idx="29">
                  <c:v>61.579606575100001</c:v>
                </c:pt>
                <c:pt idx="30">
                  <c:v>61.558757689300002</c:v>
                </c:pt>
                <c:pt idx="31">
                  <c:v>61.537913678700001</c:v>
                </c:pt>
                <c:pt idx="32">
                  <c:v>61.517151119399998</c:v>
                </c:pt>
                <c:pt idx="33">
                  <c:v>61.496465031699998</c:v>
                </c:pt>
                <c:pt idx="34">
                  <c:v>61.475794171499999</c:v>
                </c:pt>
                <c:pt idx="35">
                  <c:v>61.455053673899997</c:v>
                </c:pt>
                <c:pt idx="36">
                  <c:v>61.434163945800002</c:v>
                </c:pt>
                <c:pt idx="37">
                  <c:v>61.413069312200001</c:v>
                </c:pt>
                <c:pt idx="38">
                  <c:v>61.391744845200002</c:v>
                </c:pt>
                <c:pt idx="39">
                  <c:v>61.370193370800003</c:v>
                </c:pt>
                <c:pt idx="40">
                  <c:v>61.348436440699999</c:v>
                </c:pt>
                <c:pt idx="41">
                  <c:v>61.3265033339</c:v>
                </c:pt>
                <c:pt idx="42">
                  <c:v>61.304421420499999</c:v>
                </c:pt>
                <c:pt idx="43">
                  <c:v>61.282209929300002</c:v>
                </c:pt>
                <c:pt idx="44">
                  <c:v>61.259877735499998</c:v>
                </c:pt>
                <c:pt idx="45">
                  <c:v>61.237424574199999</c:v>
                </c:pt>
                <c:pt idx="46">
                  <c:v>61.214844352999997</c:v>
                </c:pt>
                <c:pt idx="47">
                  <c:v>61.192129054399999</c:v>
                </c:pt>
                <c:pt idx="48">
                  <c:v>61.169271998600003</c:v>
                </c:pt>
                <c:pt idx="49">
                  <c:v>61.146269770700002</c:v>
                </c:pt>
                <c:pt idx="50">
                  <c:v>61.123122680400002</c:v>
                </c:pt>
                <c:pt idx="51">
                  <c:v>61.099834055400002</c:v>
                </c:pt>
                <c:pt idx="52">
                  <c:v>61.076408892800004</c:v>
                </c:pt>
                <c:pt idx="53">
                  <c:v>61.0528524116</c:v>
                </c:pt>
                <c:pt idx="54">
                  <c:v>61.0291689214</c:v>
                </c:pt>
                <c:pt idx="55">
                  <c:v>61.005361223199998</c:v>
                </c:pt>
                <c:pt idx="56">
                  <c:v>60.981430556900001</c:v>
                </c:pt>
                <c:pt idx="57">
                  <c:v>60.9573769605</c:v>
                </c:pt>
                <c:pt idx="58">
                  <c:v>60.933199835099998</c:v>
                </c:pt>
                <c:pt idx="59">
                  <c:v>60.9088985088</c:v>
                </c:pt>
                <c:pt idx="60">
                  <c:v>60.884472649099997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D7-4EEF-B240-63414371E252}"/>
            </c:ext>
          </c:extLst>
        </c:ser>
        <c:ser>
          <c:idx val="3"/>
          <c:order val="3"/>
          <c:tx>
            <c:strRef>
              <c:f>BAI!$Q$1</c:f>
              <c:strCache>
                <c:ptCount val="1"/>
                <c:pt idx="0">
                  <c:v>BAU-PW CPI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BAI!$A$2:$A$62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BAI!$Q$2:$Q$62</c:f>
              <c:numCache>
                <c:formatCode>#,##0.00\ "%"</c:formatCode>
                <c:ptCount val="61"/>
                <c:pt idx="0">
                  <c:v>61.1930545958</c:v>
                </c:pt>
                <c:pt idx="1">
                  <c:v>62.4647989208</c:v>
                </c:pt>
                <c:pt idx="2">
                  <c:v>74.687715309699996</c:v>
                </c:pt>
                <c:pt idx="3">
                  <c:v>64.822385199999999</c:v>
                </c:pt>
                <c:pt idx="4">
                  <c:v>60.563400581300002</c:v>
                </c:pt>
                <c:pt idx="5">
                  <c:v>60.448466786499999</c:v>
                </c:pt>
                <c:pt idx="6">
                  <c:v>60.7367251736</c:v>
                </c:pt>
                <c:pt idx="7">
                  <c:v>61.039775263499997</c:v>
                </c:pt>
                <c:pt idx="8">
                  <c:v>61.4231704213</c:v>
                </c:pt>
                <c:pt idx="9">
                  <c:v>64.217054381500006</c:v>
                </c:pt>
                <c:pt idx="10">
                  <c:v>64.266270415299999</c:v>
                </c:pt>
                <c:pt idx="11">
                  <c:v>61.762767652500003</c:v>
                </c:pt>
                <c:pt idx="12">
                  <c:v>61.068814928899997</c:v>
                </c:pt>
                <c:pt idx="13">
                  <c:v>60.917417426199997</c:v>
                </c:pt>
                <c:pt idx="14">
                  <c:v>60.843307832800001</c:v>
                </c:pt>
                <c:pt idx="15">
                  <c:v>60.844812146400002</c:v>
                </c:pt>
                <c:pt idx="16">
                  <c:v>61.000366467299997</c:v>
                </c:pt>
                <c:pt idx="17">
                  <c:v>62.353750332200001</c:v>
                </c:pt>
                <c:pt idx="18">
                  <c:v>63.674230376300002</c:v>
                </c:pt>
                <c:pt idx="19">
                  <c:v>61.963617705700003</c:v>
                </c:pt>
                <c:pt idx="20">
                  <c:v>61.157950311699999</c:v>
                </c:pt>
                <c:pt idx="21">
                  <c:v>60.888321855199997</c:v>
                </c:pt>
                <c:pt idx="22">
                  <c:v>60.769664818499997</c:v>
                </c:pt>
                <c:pt idx="23">
                  <c:v>60.714474749399997</c:v>
                </c:pt>
                <c:pt idx="24">
                  <c:v>60.781485266399997</c:v>
                </c:pt>
                <c:pt idx="25">
                  <c:v>61.009083901899999</c:v>
                </c:pt>
                <c:pt idx="26">
                  <c:v>62.7014390999</c:v>
                </c:pt>
                <c:pt idx="27">
                  <c:v>62.798594034300002</c:v>
                </c:pt>
                <c:pt idx="28">
                  <c:v>61.427932959099998</c:v>
                </c:pt>
                <c:pt idx="29">
                  <c:v>60.9090668455</c:v>
                </c:pt>
                <c:pt idx="30">
                  <c:v>60.7090389074</c:v>
                </c:pt>
                <c:pt idx="31">
                  <c:v>60.586994613800002</c:v>
                </c:pt>
                <c:pt idx="32">
                  <c:v>60.543181918000002</c:v>
                </c:pt>
                <c:pt idx="33">
                  <c:v>60.630194434000003</c:v>
                </c:pt>
                <c:pt idx="34">
                  <c:v>61.014743890200002</c:v>
                </c:pt>
                <c:pt idx="35">
                  <c:v>62.620460155099998</c:v>
                </c:pt>
                <c:pt idx="36">
                  <c:v>62.314386372599998</c:v>
                </c:pt>
                <c:pt idx="37">
                  <c:v>61.118313942699999</c:v>
                </c:pt>
                <c:pt idx="38">
                  <c:v>60.662635439699997</c:v>
                </c:pt>
                <c:pt idx="39">
                  <c:v>60.486664331500002</c:v>
                </c:pt>
                <c:pt idx="40">
                  <c:v>60.376210711699997</c:v>
                </c:pt>
                <c:pt idx="41">
                  <c:v>60.349490979800002</c:v>
                </c:pt>
                <c:pt idx="42">
                  <c:v>60.454518232200002</c:v>
                </c:pt>
                <c:pt idx="43">
                  <c:v>60.932362974599997</c:v>
                </c:pt>
                <c:pt idx="44">
                  <c:v>62.482617619999999</c:v>
                </c:pt>
                <c:pt idx="45">
                  <c:v>61.948517539199997</c:v>
                </c:pt>
                <c:pt idx="46">
                  <c:v>60.830961985899997</c:v>
                </c:pt>
                <c:pt idx="47">
                  <c:v>60.405134238400002</c:v>
                </c:pt>
                <c:pt idx="48">
                  <c:v>60.247404480299998</c:v>
                </c:pt>
                <c:pt idx="49">
                  <c:v>60.1509846557</c:v>
                </c:pt>
                <c:pt idx="50">
                  <c:v>60.140564963099997</c:v>
                </c:pt>
                <c:pt idx="51">
                  <c:v>60.261290709599997</c:v>
                </c:pt>
                <c:pt idx="52">
                  <c:v>60.8129422612</c:v>
                </c:pt>
                <c:pt idx="53">
                  <c:v>62.314426880100001</c:v>
                </c:pt>
                <c:pt idx="54">
                  <c:v>61.6056205573</c:v>
                </c:pt>
                <c:pt idx="55">
                  <c:v>60.538834164100003</c:v>
                </c:pt>
                <c:pt idx="56">
                  <c:v>60.135394887899999</c:v>
                </c:pt>
                <c:pt idx="57">
                  <c:v>59.995040081299997</c:v>
                </c:pt>
                <c:pt idx="58">
                  <c:v>59.913423870499997</c:v>
                </c:pt>
                <c:pt idx="59">
                  <c:v>59.919499278300002</c:v>
                </c:pt>
                <c:pt idx="60">
                  <c:v>60.0554491404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8C-4A83-AEE5-850EF486A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053712"/>
        <c:axId val="1641056624"/>
      </c:scatterChart>
      <c:valAx>
        <c:axId val="164105371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1056624"/>
        <c:crosses val="autoZero"/>
        <c:crossBetween val="midCat"/>
      </c:valAx>
      <c:valAx>
        <c:axId val="164105662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105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'BAV-OP'!$B$1</c:f>
              <c:strCache>
                <c:ptCount val="1"/>
                <c:pt idx="0">
                  <c:v>BAU EnviI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'BAV-OP'!$B$2:$B$62</c:f>
              <c:numCache>
                <c:formatCode>#,##0.00\ "%"</c:formatCode>
                <c:ptCount val="61"/>
                <c:pt idx="0">
                  <c:v>74.494774371899993</c:v>
                </c:pt>
                <c:pt idx="1">
                  <c:v>71.1300234964</c:v>
                </c:pt>
                <c:pt idx="2">
                  <c:v>65.901706906200005</c:v>
                </c:pt>
                <c:pt idx="3">
                  <c:v>56.445038898</c:v>
                </c:pt>
                <c:pt idx="4">
                  <c:v>59.386145601599999</c:v>
                </c:pt>
                <c:pt idx="5">
                  <c:v>61.910833179599997</c:v>
                </c:pt>
                <c:pt idx="6">
                  <c:v>63.27808967</c:v>
                </c:pt>
                <c:pt idx="7">
                  <c:v>64.594435232400002</c:v>
                </c:pt>
                <c:pt idx="8">
                  <c:v>65.084609649699999</c:v>
                </c:pt>
                <c:pt idx="9">
                  <c:v>61.6602332967</c:v>
                </c:pt>
                <c:pt idx="10">
                  <c:v>61.243471204099997</c:v>
                </c:pt>
                <c:pt idx="11">
                  <c:v>61.573751769600001</c:v>
                </c:pt>
                <c:pt idx="12">
                  <c:v>61.947284865299999</c:v>
                </c:pt>
                <c:pt idx="13">
                  <c:v>62.1446963486</c:v>
                </c:pt>
                <c:pt idx="14">
                  <c:v>62.152043654499998</c:v>
                </c:pt>
                <c:pt idx="15">
                  <c:v>62.031386534399999</c:v>
                </c:pt>
                <c:pt idx="16">
                  <c:v>61.855801117600002</c:v>
                </c:pt>
                <c:pt idx="17">
                  <c:v>61.680861383699998</c:v>
                </c:pt>
                <c:pt idx="18">
                  <c:v>61.537368939099998</c:v>
                </c:pt>
                <c:pt idx="19">
                  <c:v>61.4347600997</c:v>
                </c:pt>
                <c:pt idx="20">
                  <c:v>61.368303291399997</c:v>
                </c:pt>
                <c:pt idx="21">
                  <c:v>61.326299558700001</c:v>
                </c:pt>
                <c:pt idx="22">
                  <c:v>61.295652200500001</c:v>
                </c:pt>
                <c:pt idx="23">
                  <c:v>61.2653936492</c:v>
                </c:pt>
                <c:pt idx="24">
                  <c:v>61.228342310999999</c:v>
                </c:pt>
                <c:pt idx="25">
                  <c:v>61.181310539099997</c:v>
                </c:pt>
                <c:pt idx="26">
                  <c:v>61.124371275000001</c:v>
                </c:pt>
                <c:pt idx="27">
                  <c:v>61.0596789493</c:v>
                </c:pt>
                <c:pt idx="28">
                  <c:v>60.990253365400001</c:v>
                </c:pt>
                <c:pt idx="29">
                  <c:v>60.9190008717</c:v>
                </c:pt>
                <c:pt idx="30">
                  <c:v>60.848101759400002</c:v>
                </c:pt>
                <c:pt idx="31">
                  <c:v>60.778769627099997</c:v>
                </c:pt>
                <c:pt idx="32">
                  <c:v>60.7113065765</c:v>
                </c:pt>
                <c:pt idx="33">
                  <c:v>60.645340913699997</c:v>
                </c:pt>
                <c:pt idx="34">
                  <c:v>60.580133720200003</c:v>
                </c:pt>
                <c:pt idx="35">
                  <c:v>60.514864378799999</c:v>
                </c:pt>
                <c:pt idx="36">
                  <c:v>60.448839773800003</c:v>
                </c:pt>
                <c:pt idx="37">
                  <c:v>60.381606699099997</c:v>
                </c:pt>
                <c:pt idx="38">
                  <c:v>60.312974754899997</c:v>
                </c:pt>
                <c:pt idx="39">
                  <c:v>60.242974147699996</c:v>
                </c:pt>
                <c:pt idx="40">
                  <c:v>60.171779059099997</c:v>
                </c:pt>
                <c:pt idx="41">
                  <c:v>60.0996247418</c:v>
                </c:pt>
                <c:pt idx="42">
                  <c:v>60.026738614999999</c:v>
                </c:pt>
                <c:pt idx="43">
                  <c:v>59.953295862799997</c:v>
                </c:pt>
                <c:pt idx="44">
                  <c:v>59.8794011747</c:v>
                </c:pt>
                <c:pt idx="45">
                  <c:v>59.805091967700001</c:v>
                </c:pt>
                <c:pt idx="46">
                  <c:v>59.730355250899997</c:v>
                </c:pt>
                <c:pt idx="47">
                  <c:v>59.655149887699999</c:v>
                </c:pt>
                <c:pt idx="48">
                  <c:v>59.579427558500001</c:v>
                </c:pt>
                <c:pt idx="49">
                  <c:v>59.503148231700003</c:v>
                </c:pt>
                <c:pt idx="50">
                  <c:v>59.426288549200002</c:v>
                </c:pt>
                <c:pt idx="51">
                  <c:v>59.348843623199997</c:v>
                </c:pt>
                <c:pt idx="52">
                  <c:v>59.270824028600003</c:v>
                </c:pt>
                <c:pt idx="53">
                  <c:v>59.192250246299999</c:v>
                </c:pt>
                <c:pt idx="54">
                  <c:v>59.113146627699997</c:v>
                </c:pt>
                <c:pt idx="55">
                  <c:v>59.033536373399997</c:v>
                </c:pt>
                <c:pt idx="56">
                  <c:v>58.953438301799999</c:v>
                </c:pt>
                <c:pt idx="57">
                  <c:v>58.872865532299997</c:v>
                </c:pt>
                <c:pt idx="58">
                  <c:v>58.791825745799997</c:v>
                </c:pt>
                <c:pt idx="59">
                  <c:v>58.710322448299998</c:v>
                </c:pt>
                <c:pt idx="60">
                  <c:v>58.628356634100001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E5-4FCC-B87B-869108D84DB6}"/>
            </c:ext>
          </c:extLst>
        </c:ser>
        <c:ser>
          <c:idx val="1"/>
          <c:order val="1"/>
          <c:tx>
            <c:strRef>
              <c:f>'BAV-OP'!$C$1</c:f>
              <c:strCache>
                <c:ptCount val="1"/>
                <c:pt idx="0">
                  <c:v>OP-P EnviI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'BAV-OP'!$C$2:$C$62</c:f>
              <c:numCache>
                <c:formatCode>#,##0.00\ "%"</c:formatCode>
                <c:ptCount val="61"/>
                <c:pt idx="0">
                  <c:v>73.795185337800007</c:v>
                </c:pt>
                <c:pt idx="1">
                  <c:v>66.929716882099996</c:v>
                </c:pt>
                <c:pt idx="2">
                  <c:v>93.945044702199993</c:v>
                </c:pt>
                <c:pt idx="3">
                  <c:v>63.772933846100003</c:v>
                </c:pt>
                <c:pt idx="4">
                  <c:v>56.687974967000002</c:v>
                </c:pt>
                <c:pt idx="5">
                  <c:v>58.347317110200002</c:v>
                </c:pt>
                <c:pt idx="6">
                  <c:v>60.236622566699999</c:v>
                </c:pt>
                <c:pt idx="7">
                  <c:v>61.886285414900001</c:v>
                </c:pt>
                <c:pt idx="8">
                  <c:v>63.243922558199998</c:v>
                </c:pt>
                <c:pt idx="9">
                  <c:v>68.201205260500004</c:v>
                </c:pt>
                <c:pt idx="10">
                  <c:v>70.736247876099995</c:v>
                </c:pt>
                <c:pt idx="11">
                  <c:v>61.450611726799998</c:v>
                </c:pt>
                <c:pt idx="12">
                  <c:v>59.481636043500004</c:v>
                </c:pt>
                <c:pt idx="13">
                  <c:v>59.494345918</c:v>
                </c:pt>
                <c:pt idx="14">
                  <c:v>60.022757294400002</c:v>
                </c:pt>
                <c:pt idx="15">
                  <c:v>60.806463094500003</c:v>
                </c:pt>
                <c:pt idx="16">
                  <c:v>61.759819919199998</c:v>
                </c:pt>
                <c:pt idx="17">
                  <c:v>64.385797587499994</c:v>
                </c:pt>
                <c:pt idx="18">
                  <c:v>69.316516865500006</c:v>
                </c:pt>
                <c:pt idx="19">
                  <c:v>62.7895386872</c:v>
                </c:pt>
                <c:pt idx="20">
                  <c:v>58.879700640899998</c:v>
                </c:pt>
                <c:pt idx="21">
                  <c:v>58.351792429299998</c:v>
                </c:pt>
                <c:pt idx="22">
                  <c:v>58.718315894900002</c:v>
                </c:pt>
                <c:pt idx="23">
                  <c:v>59.425519954599999</c:v>
                </c:pt>
                <c:pt idx="24">
                  <c:v>60.347371097</c:v>
                </c:pt>
                <c:pt idx="25">
                  <c:v>61.336608878100002</c:v>
                </c:pt>
                <c:pt idx="26">
                  <c:v>66.328143507099995</c:v>
                </c:pt>
                <c:pt idx="27">
                  <c:v>65.733577230700007</c:v>
                </c:pt>
                <c:pt idx="28">
                  <c:v>58.616615610700002</c:v>
                </c:pt>
                <c:pt idx="29">
                  <c:v>57.1029515006</c:v>
                </c:pt>
                <c:pt idx="30">
                  <c:v>57.180058282300003</c:v>
                </c:pt>
                <c:pt idx="31">
                  <c:v>57.762125213600001</c:v>
                </c:pt>
                <c:pt idx="32">
                  <c:v>58.634505197099998</c:v>
                </c:pt>
                <c:pt idx="33">
                  <c:v>59.658144579899997</c:v>
                </c:pt>
                <c:pt idx="34">
                  <c:v>61.950046229999998</c:v>
                </c:pt>
                <c:pt idx="35">
                  <c:v>66.386641013200006</c:v>
                </c:pt>
                <c:pt idx="36">
                  <c:v>60.4080132056</c:v>
                </c:pt>
                <c:pt idx="37">
                  <c:v>56.042613191900003</c:v>
                </c:pt>
                <c:pt idx="38">
                  <c:v>55.393911968099999</c:v>
                </c:pt>
                <c:pt idx="39">
                  <c:v>55.830741814100001</c:v>
                </c:pt>
                <c:pt idx="40">
                  <c:v>56.654272241900003</c:v>
                </c:pt>
                <c:pt idx="41">
                  <c:v>57.714012228100003</c:v>
                </c:pt>
                <c:pt idx="42">
                  <c:v>58.8322696197</c:v>
                </c:pt>
                <c:pt idx="43">
                  <c:v>62.998766482699999</c:v>
                </c:pt>
                <c:pt idx="44">
                  <c:v>64.173974809200004</c:v>
                </c:pt>
                <c:pt idx="45">
                  <c:v>55.900935590700001</c:v>
                </c:pt>
                <c:pt idx="46">
                  <c:v>53.684597718399999</c:v>
                </c:pt>
                <c:pt idx="47">
                  <c:v>53.684469014599998</c:v>
                </c:pt>
                <c:pt idx="48">
                  <c:v>54.4199685014</c:v>
                </c:pt>
                <c:pt idx="49">
                  <c:v>55.489637478399999</c:v>
                </c:pt>
                <c:pt idx="50">
                  <c:v>56.721575375100002</c:v>
                </c:pt>
                <c:pt idx="51">
                  <c:v>57.892388077600003</c:v>
                </c:pt>
                <c:pt idx="52">
                  <c:v>63.365505541200001</c:v>
                </c:pt>
                <c:pt idx="53">
                  <c:v>59.742241978499997</c:v>
                </c:pt>
                <c:pt idx="54">
                  <c:v>52.633549925499999</c:v>
                </c:pt>
                <c:pt idx="55">
                  <c:v>51.443251703800001</c:v>
                </c:pt>
                <c:pt idx="56">
                  <c:v>51.948350438299997</c:v>
                </c:pt>
                <c:pt idx="57">
                  <c:v>52.984648491900003</c:v>
                </c:pt>
                <c:pt idx="58">
                  <c:v>54.2956064615</c:v>
                </c:pt>
                <c:pt idx="59">
                  <c:v>55.6678192197</c:v>
                </c:pt>
                <c:pt idx="60">
                  <c:v>58.7476799015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E5-4FCC-B87B-869108D84DB6}"/>
            </c:ext>
          </c:extLst>
        </c:ser>
        <c:ser>
          <c:idx val="2"/>
          <c:order val="2"/>
          <c:tx>
            <c:strRef>
              <c:f>'BAV-OP'!$D$1</c:f>
              <c:strCache>
                <c:ptCount val="1"/>
                <c:pt idx="0">
                  <c:v>OP-W EnviI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'BAV-OP'!$D$2:$D$62</c:f>
              <c:numCache>
                <c:formatCode>#,##0.00\ "%"</c:formatCode>
                <c:ptCount val="61"/>
                <c:pt idx="0">
                  <c:v>74.817984491399997</c:v>
                </c:pt>
                <c:pt idx="1">
                  <c:v>72.369971122500004</c:v>
                </c:pt>
                <c:pt idx="2">
                  <c:v>64.399059389399994</c:v>
                </c:pt>
                <c:pt idx="3">
                  <c:v>57.258168920000003</c:v>
                </c:pt>
                <c:pt idx="4">
                  <c:v>60.704214126899998</c:v>
                </c:pt>
                <c:pt idx="5">
                  <c:v>63.503435127800003</c:v>
                </c:pt>
                <c:pt idx="6">
                  <c:v>66.051744962900003</c:v>
                </c:pt>
                <c:pt idx="7">
                  <c:v>65.973211362499995</c:v>
                </c:pt>
                <c:pt idx="8">
                  <c:v>62.505363690700001</c:v>
                </c:pt>
                <c:pt idx="9">
                  <c:v>62.402982348400002</c:v>
                </c:pt>
                <c:pt idx="10">
                  <c:v>62.883165347000002</c:v>
                </c:pt>
                <c:pt idx="11">
                  <c:v>63.249598566899998</c:v>
                </c:pt>
                <c:pt idx="12">
                  <c:v>63.359592037799999</c:v>
                </c:pt>
                <c:pt idx="13">
                  <c:v>63.271771167499999</c:v>
                </c:pt>
                <c:pt idx="14">
                  <c:v>63.086610243099997</c:v>
                </c:pt>
                <c:pt idx="15">
                  <c:v>62.883664281999998</c:v>
                </c:pt>
                <c:pt idx="16">
                  <c:v>62.706609187600002</c:v>
                </c:pt>
                <c:pt idx="17">
                  <c:v>62.568716640399998</c:v>
                </c:pt>
                <c:pt idx="18">
                  <c:v>62.464203194299998</c:v>
                </c:pt>
                <c:pt idx="19">
                  <c:v>62.378855128700003</c:v>
                </c:pt>
                <c:pt idx="20">
                  <c:v>62.2976757582</c:v>
                </c:pt>
                <c:pt idx="21">
                  <c:v>62.209286214700001</c:v>
                </c:pt>
                <c:pt idx="22">
                  <c:v>62.107589315799999</c:v>
                </c:pt>
                <c:pt idx="23">
                  <c:v>61.991480579600001</c:v>
                </c:pt>
                <c:pt idx="24">
                  <c:v>61.863440242800003</c:v>
                </c:pt>
                <c:pt idx="25">
                  <c:v>61.727745616699998</c:v>
                </c:pt>
                <c:pt idx="26">
                  <c:v>61.588850109200003</c:v>
                </c:pt>
                <c:pt idx="27">
                  <c:v>61.450243049500003</c:v>
                </c:pt>
                <c:pt idx="28">
                  <c:v>61.313891161199997</c:v>
                </c:pt>
                <c:pt idx="29">
                  <c:v>61.180204354499999</c:v>
                </c:pt>
                <c:pt idx="30">
                  <c:v>61.0483756036</c:v>
                </c:pt>
                <c:pt idx="31">
                  <c:v>60.9169103033</c:v>
                </c:pt>
                <c:pt idx="32">
                  <c:v>60.784171855099999</c:v>
                </c:pt>
                <c:pt idx="33">
                  <c:v>60.648813330199999</c:v>
                </c:pt>
                <c:pt idx="34">
                  <c:v>60.510024935200001</c:v>
                </c:pt>
                <c:pt idx="35">
                  <c:v>60.367587919100004</c:v>
                </c:pt>
                <c:pt idx="36">
                  <c:v>60.2217735897</c:v>
                </c:pt>
                <c:pt idx="37">
                  <c:v>60.073152758399999</c:v>
                </c:pt>
                <c:pt idx="38">
                  <c:v>59.922384896099999</c:v>
                </c:pt>
                <c:pt idx="39">
                  <c:v>59.770042491200002</c:v>
                </c:pt>
                <c:pt idx="40">
                  <c:v>59.616502737799998</c:v>
                </c:pt>
                <c:pt idx="41">
                  <c:v>59.461914047</c:v>
                </c:pt>
                <c:pt idx="42">
                  <c:v>59.306225201399997</c:v>
                </c:pt>
                <c:pt idx="43">
                  <c:v>59.149253497099998</c:v>
                </c:pt>
                <c:pt idx="44">
                  <c:v>58.990765380699997</c:v>
                </c:pt>
                <c:pt idx="45">
                  <c:v>58.830547217700001</c:v>
                </c:pt>
                <c:pt idx="46">
                  <c:v>58.668452116899999</c:v>
                </c:pt>
                <c:pt idx="47">
                  <c:v>58.5044181353</c:v>
                </c:pt>
                <c:pt idx="48">
                  <c:v>58.3384612089</c:v>
                </c:pt>
                <c:pt idx="49">
                  <c:v>58.170651241599998</c:v>
                </c:pt>
                <c:pt idx="50">
                  <c:v>58.001081523400003</c:v>
                </c:pt>
                <c:pt idx="51">
                  <c:v>57.829840506899998</c:v>
                </c:pt>
                <c:pt idx="52">
                  <c:v>57.656991995299997</c:v>
                </c:pt>
                <c:pt idx="53">
                  <c:v>57.482566186500001</c:v>
                </c:pt>
                <c:pt idx="54">
                  <c:v>57.306560794699998</c:v>
                </c:pt>
                <c:pt idx="55">
                  <c:v>57.128949302700001</c:v>
                </c:pt>
                <c:pt idx="56">
                  <c:v>56.949692500600001</c:v>
                </c:pt>
                <c:pt idx="57">
                  <c:v>56.768749720300001</c:v>
                </c:pt>
                <c:pt idx="58">
                  <c:v>56.586087209600002</c:v>
                </c:pt>
                <c:pt idx="59">
                  <c:v>56.401682445699997</c:v>
                </c:pt>
                <c:pt idx="60">
                  <c:v>56.215524469499996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E5-4FCC-B87B-869108D84DB6}"/>
            </c:ext>
          </c:extLst>
        </c:ser>
        <c:ser>
          <c:idx val="3"/>
          <c:order val="3"/>
          <c:tx>
            <c:strRef>
              <c:f>'BAV-OP'!$E$1</c:f>
              <c:strCache>
                <c:ptCount val="1"/>
                <c:pt idx="0">
                  <c:v>OP-PW EnviI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'BAV-OP'!$E$2:$E$62</c:f>
              <c:numCache>
                <c:formatCode>#,##0.00\ "%"</c:formatCode>
                <c:ptCount val="61"/>
                <c:pt idx="0">
                  <c:v>73.911800909600004</c:v>
                </c:pt>
                <c:pt idx="1">
                  <c:v>66.794887385899997</c:v>
                </c:pt>
                <c:pt idx="2">
                  <c:v>94.157927374099998</c:v>
                </c:pt>
                <c:pt idx="3">
                  <c:v>62.544792441600002</c:v>
                </c:pt>
                <c:pt idx="4">
                  <c:v>56.905998711000002</c:v>
                </c:pt>
                <c:pt idx="5">
                  <c:v>58.988774903900001</c:v>
                </c:pt>
                <c:pt idx="6">
                  <c:v>61.014140685100003</c:v>
                </c:pt>
                <c:pt idx="7">
                  <c:v>62.484164193399998</c:v>
                </c:pt>
                <c:pt idx="8">
                  <c:v>63.518113263799997</c:v>
                </c:pt>
                <c:pt idx="9">
                  <c:v>68.060285647399994</c:v>
                </c:pt>
                <c:pt idx="10">
                  <c:v>66.980261080000005</c:v>
                </c:pt>
                <c:pt idx="11">
                  <c:v>61.261145673100003</c:v>
                </c:pt>
                <c:pt idx="12">
                  <c:v>60.330426070800002</c:v>
                </c:pt>
                <c:pt idx="13">
                  <c:v>60.5537867703</c:v>
                </c:pt>
                <c:pt idx="14">
                  <c:v>60.966634546500003</c:v>
                </c:pt>
                <c:pt idx="15">
                  <c:v>61.332278949900001</c:v>
                </c:pt>
                <c:pt idx="16">
                  <c:v>61.753891817300001</c:v>
                </c:pt>
                <c:pt idx="17">
                  <c:v>62.3358497818</c:v>
                </c:pt>
                <c:pt idx="18">
                  <c:v>65.410945165699999</c:v>
                </c:pt>
                <c:pt idx="19">
                  <c:v>63.315103088299999</c:v>
                </c:pt>
                <c:pt idx="20">
                  <c:v>60.259866390699997</c:v>
                </c:pt>
                <c:pt idx="21">
                  <c:v>59.581162851899997</c:v>
                </c:pt>
                <c:pt idx="22">
                  <c:v>59.636427854600001</c:v>
                </c:pt>
                <c:pt idx="23">
                  <c:v>59.860455225599999</c:v>
                </c:pt>
                <c:pt idx="24">
                  <c:v>60.115479516999997</c:v>
                </c:pt>
                <c:pt idx="25">
                  <c:v>60.457911255100001</c:v>
                </c:pt>
                <c:pt idx="26">
                  <c:v>60.8600414195</c:v>
                </c:pt>
                <c:pt idx="27">
                  <c:v>62.868404315600003</c:v>
                </c:pt>
                <c:pt idx="28">
                  <c:v>62.900067061500003</c:v>
                </c:pt>
                <c:pt idx="29">
                  <c:v>59.616757223699999</c:v>
                </c:pt>
                <c:pt idx="30">
                  <c:v>58.471896087899999</c:v>
                </c:pt>
                <c:pt idx="31">
                  <c:v>58.203569009299997</c:v>
                </c:pt>
                <c:pt idx="32">
                  <c:v>58.352544934800001</c:v>
                </c:pt>
                <c:pt idx="33">
                  <c:v>58.5523854339</c:v>
                </c:pt>
                <c:pt idx="34">
                  <c:v>58.8284668242</c:v>
                </c:pt>
                <c:pt idx="35">
                  <c:v>59.202026179500002</c:v>
                </c:pt>
                <c:pt idx="36">
                  <c:v>59.601750119000002</c:v>
                </c:pt>
                <c:pt idx="37">
                  <c:v>61.925083037500002</c:v>
                </c:pt>
                <c:pt idx="38">
                  <c:v>60.197289055799999</c:v>
                </c:pt>
                <c:pt idx="39">
                  <c:v>57.4308381998</c:v>
                </c:pt>
                <c:pt idx="40">
                  <c:v>56.565672329599998</c:v>
                </c:pt>
                <c:pt idx="41">
                  <c:v>56.484120951599998</c:v>
                </c:pt>
                <c:pt idx="42">
                  <c:v>56.713719002300003</c:v>
                </c:pt>
                <c:pt idx="43">
                  <c:v>56.969641189500003</c:v>
                </c:pt>
                <c:pt idx="44">
                  <c:v>57.313904264100003</c:v>
                </c:pt>
                <c:pt idx="45">
                  <c:v>57.7347809412</c:v>
                </c:pt>
                <c:pt idx="46">
                  <c:v>58.575222531900003</c:v>
                </c:pt>
                <c:pt idx="47">
                  <c:v>60.400780469200001</c:v>
                </c:pt>
                <c:pt idx="48">
                  <c:v>57.269807554899998</c:v>
                </c:pt>
                <c:pt idx="49">
                  <c:v>55.126680798499997</c:v>
                </c:pt>
                <c:pt idx="50">
                  <c:v>54.473876065399999</c:v>
                </c:pt>
                <c:pt idx="51">
                  <c:v>54.555039215500003</c:v>
                </c:pt>
                <c:pt idx="52">
                  <c:v>54.865006253099999</c:v>
                </c:pt>
                <c:pt idx="53">
                  <c:v>55.1974187247</c:v>
                </c:pt>
                <c:pt idx="54">
                  <c:v>55.619355205300003</c:v>
                </c:pt>
                <c:pt idx="55">
                  <c:v>56.085013257699998</c:v>
                </c:pt>
                <c:pt idx="56">
                  <c:v>57.489906579299998</c:v>
                </c:pt>
                <c:pt idx="57">
                  <c:v>58.376844516699997</c:v>
                </c:pt>
                <c:pt idx="58">
                  <c:v>54.3946472923</c:v>
                </c:pt>
                <c:pt idx="59">
                  <c:v>52.643144149400001</c:v>
                </c:pt>
                <c:pt idx="60">
                  <c:v>52.201398477600002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E5-4FCC-B87B-869108D8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60112"/>
        <c:axId val="1981760528"/>
      </c:scatterChart>
      <c:valAx>
        <c:axId val="198176011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1760528"/>
        <c:crosses val="autoZero"/>
        <c:crossBetween val="midCat"/>
      </c:valAx>
      <c:valAx>
        <c:axId val="198176052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176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'BAV-OP'!$F$1</c:f>
              <c:strCache>
                <c:ptCount val="1"/>
                <c:pt idx="0">
                  <c:v>BAU Ecol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'BAV-OP'!$F$2:$F$62</c:f>
              <c:numCache>
                <c:formatCode>#,##0.00\ "%"</c:formatCode>
                <c:ptCount val="61"/>
                <c:pt idx="0">
                  <c:v>5.3268111360699999</c:v>
                </c:pt>
                <c:pt idx="1">
                  <c:v>22.021274960500001</c:v>
                </c:pt>
                <c:pt idx="2">
                  <c:v>31.540819007700001</c:v>
                </c:pt>
                <c:pt idx="3">
                  <c:v>19.693233239200001</c:v>
                </c:pt>
                <c:pt idx="4">
                  <c:v>11.8402886685</c:v>
                </c:pt>
                <c:pt idx="5">
                  <c:v>9.2288441023699992</c:v>
                </c:pt>
                <c:pt idx="6">
                  <c:v>8.1419025253800008</c:v>
                </c:pt>
                <c:pt idx="7">
                  <c:v>8.5348525527899994</c:v>
                </c:pt>
                <c:pt idx="8">
                  <c:v>13.158723329500001</c:v>
                </c:pt>
                <c:pt idx="9">
                  <c:v>12.3211746507</c:v>
                </c:pt>
                <c:pt idx="10">
                  <c:v>10.2255608352</c:v>
                </c:pt>
                <c:pt idx="11">
                  <c:v>9.3825826203799991</c:v>
                </c:pt>
                <c:pt idx="12">
                  <c:v>9.0116934828899993</c:v>
                </c:pt>
                <c:pt idx="13">
                  <c:v>8.8980440674099999</c:v>
                </c:pt>
                <c:pt idx="14">
                  <c:v>8.9440724635100004</c:v>
                </c:pt>
                <c:pt idx="15">
                  <c:v>9.0762331280699993</c:v>
                </c:pt>
                <c:pt idx="16">
                  <c:v>9.2340931919500004</c:v>
                </c:pt>
                <c:pt idx="17">
                  <c:v>9.3739411611999994</c:v>
                </c:pt>
                <c:pt idx="18">
                  <c:v>9.4710784205700005</c:v>
                </c:pt>
                <c:pt idx="19">
                  <c:v>9.5183623928600003</c:v>
                </c:pt>
                <c:pt idx="20">
                  <c:v>9.5218674628599995</c:v>
                </c:pt>
                <c:pt idx="21">
                  <c:v>9.4952262154400007</c:v>
                </c:pt>
                <c:pt idx="22">
                  <c:v>9.4541618067800002</c:v>
                </c:pt>
                <c:pt idx="23">
                  <c:v>9.4123231599199997</c:v>
                </c:pt>
                <c:pt idx="24">
                  <c:v>9.3789484699999992</c:v>
                </c:pt>
                <c:pt idx="25">
                  <c:v>9.3583003311299997</c:v>
                </c:pt>
                <c:pt idx="26">
                  <c:v>9.3504109352900002</c:v>
                </c:pt>
                <c:pt idx="27">
                  <c:v>9.3525192150999992</c:v>
                </c:pt>
                <c:pt idx="28">
                  <c:v>9.3606353475800006</c:v>
                </c:pt>
                <c:pt idx="29">
                  <c:v>9.3708391320299995</c:v>
                </c:pt>
                <c:pt idx="30">
                  <c:v>9.3801180209700004</c:v>
                </c:pt>
                <c:pt idx="31">
                  <c:v>9.3867199158099996</c:v>
                </c:pt>
                <c:pt idx="32">
                  <c:v>9.3901096293999995</c:v>
                </c:pt>
                <c:pt idx="33">
                  <c:v>9.3906730499699993</c:v>
                </c:pt>
                <c:pt idx="34">
                  <c:v>9.3893189331899993</c:v>
                </c:pt>
                <c:pt idx="35">
                  <c:v>9.3871002093999998</c:v>
                </c:pt>
                <c:pt idx="36">
                  <c:v>9.3849316053600003</c:v>
                </c:pt>
                <c:pt idx="37">
                  <c:v>9.3834334005900004</c:v>
                </c:pt>
                <c:pt idx="38">
                  <c:v>9.3828931926300001</c:v>
                </c:pt>
                <c:pt idx="39">
                  <c:v>9.3833141304699996</c:v>
                </c:pt>
                <c:pt idx="40">
                  <c:v>9.3845096030599997</c:v>
                </c:pt>
                <c:pt idx="41">
                  <c:v>9.3862076868400006</c:v>
                </c:pt>
                <c:pt idx="42">
                  <c:v>9.3881389906300008</c:v>
                </c:pt>
                <c:pt idx="43">
                  <c:v>9.3900941739300006</c:v>
                </c:pt>
                <c:pt idx="44">
                  <c:v>9.3919487664899997</c:v>
                </c:pt>
                <c:pt idx="45">
                  <c:v>9.3936609227200005</c:v>
                </c:pt>
                <c:pt idx="46">
                  <c:v>9.3952517887999996</c:v>
                </c:pt>
                <c:pt idx="47">
                  <c:v>9.3967787041200008</c:v>
                </c:pt>
                <c:pt idx="48">
                  <c:v>9.3983095704400004</c:v>
                </c:pt>
                <c:pt idx="49">
                  <c:v>9.3999036386399997</c:v>
                </c:pt>
                <c:pt idx="50">
                  <c:v>9.4016007683900007</c:v>
                </c:pt>
                <c:pt idx="51">
                  <c:v>9.4034186507499999</c:v>
                </c:pt>
                <c:pt idx="52">
                  <c:v>9.4053559010299992</c:v>
                </c:pt>
                <c:pt idx="53">
                  <c:v>9.4073983452499998</c:v>
                </c:pt>
                <c:pt idx="54">
                  <c:v>9.4095260279000001</c:v>
                </c:pt>
                <c:pt idx="55">
                  <c:v>9.4117191492399996</c:v>
                </c:pt>
                <c:pt idx="56">
                  <c:v>9.4139619844000002</c:v>
                </c:pt>
                <c:pt idx="57">
                  <c:v>9.4162446035199991</c:v>
                </c:pt>
                <c:pt idx="58">
                  <c:v>9.4185627578699993</c:v>
                </c:pt>
                <c:pt idx="59">
                  <c:v>9.4209165776500008</c:v>
                </c:pt>
                <c:pt idx="60">
                  <c:v>9.4233087698899993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E5-4FCC-B87B-869108D84DB6}"/>
            </c:ext>
          </c:extLst>
        </c:ser>
        <c:ser>
          <c:idx val="1"/>
          <c:order val="1"/>
          <c:tx>
            <c:strRef>
              <c:f>'BAV-OP'!$G$1</c:f>
              <c:strCache>
                <c:ptCount val="1"/>
                <c:pt idx="0">
                  <c:v>OP-P Ecol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'BAV-OP'!$G$2:$G$62</c:f>
              <c:numCache>
                <c:formatCode>#,##0.00\ "%"</c:formatCode>
                <c:ptCount val="61"/>
                <c:pt idx="0">
                  <c:v>6.28651722639</c:v>
                </c:pt>
                <c:pt idx="1">
                  <c:v>22.8769542165</c:v>
                </c:pt>
                <c:pt idx="2">
                  <c:v>37.194442448899999</c:v>
                </c:pt>
                <c:pt idx="3">
                  <c:v>39.578346058800001</c:v>
                </c:pt>
                <c:pt idx="4">
                  <c:v>25.7537942921</c:v>
                </c:pt>
                <c:pt idx="5">
                  <c:v>20.465293550999998</c:v>
                </c:pt>
                <c:pt idx="6">
                  <c:v>17.2514829936</c:v>
                </c:pt>
                <c:pt idx="7">
                  <c:v>14.9026379007</c:v>
                </c:pt>
                <c:pt idx="8">
                  <c:v>13.6684186301</c:v>
                </c:pt>
                <c:pt idx="9">
                  <c:v>16.576456810700002</c:v>
                </c:pt>
                <c:pt idx="10">
                  <c:v>25.1956286281</c:v>
                </c:pt>
                <c:pt idx="11">
                  <c:v>24.126153840200001</c:v>
                </c:pt>
                <c:pt idx="12">
                  <c:v>20.7093268508</c:v>
                </c:pt>
                <c:pt idx="13">
                  <c:v>18.8388462765</c:v>
                </c:pt>
                <c:pt idx="14">
                  <c:v>16.985157191799999</c:v>
                </c:pt>
                <c:pt idx="15">
                  <c:v>15.1359696968</c:v>
                </c:pt>
                <c:pt idx="16">
                  <c:v>13.8344160696</c:v>
                </c:pt>
                <c:pt idx="17">
                  <c:v>14.1232440938</c:v>
                </c:pt>
                <c:pt idx="18">
                  <c:v>21.584506072</c:v>
                </c:pt>
                <c:pt idx="19">
                  <c:v>25.302782252099998</c:v>
                </c:pt>
                <c:pt idx="20">
                  <c:v>21.7229437385</c:v>
                </c:pt>
                <c:pt idx="21">
                  <c:v>19.715262173199999</c:v>
                </c:pt>
                <c:pt idx="22">
                  <c:v>18.016954792899998</c:v>
                </c:pt>
                <c:pt idx="23">
                  <c:v>16.1867470372</c:v>
                </c:pt>
                <c:pt idx="24">
                  <c:v>14.6834391895</c:v>
                </c:pt>
                <c:pt idx="25">
                  <c:v>13.987612733600001</c:v>
                </c:pt>
                <c:pt idx="26">
                  <c:v>17.871971386999999</c:v>
                </c:pt>
                <c:pt idx="27">
                  <c:v>24.711169505299999</c:v>
                </c:pt>
                <c:pt idx="28">
                  <c:v>23.271033196299999</c:v>
                </c:pt>
                <c:pt idx="29">
                  <c:v>20.854830053800001</c:v>
                </c:pt>
                <c:pt idx="30">
                  <c:v>19.228434486200001</c:v>
                </c:pt>
                <c:pt idx="31">
                  <c:v>17.441336096400001</c:v>
                </c:pt>
                <c:pt idx="32">
                  <c:v>15.702992801700001</c:v>
                </c:pt>
                <c:pt idx="33">
                  <c:v>14.497068581800001</c:v>
                </c:pt>
                <c:pt idx="34">
                  <c:v>14.5818322796</c:v>
                </c:pt>
                <c:pt idx="35">
                  <c:v>21.288861899600001</c:v>
                </c:pt>
                <c:pt idx="36">
                  <c:v>25.418383801200001</c:v>
                </c:pt>
                <c:pt idx="37">
                  <c:v>22.383771644799999</c:v>
                </c:pt>
                <c:pt idx="38">
                  <c:v>20.422898523200001</c:v>
                </c:pt>
                <c:pt idx="39">
                  <c:v>18.793482109900001</c:v>
                </c:pt>
                <c:pt idx="40">
                  <c:v>16.964113038899999</c:v>
                </c:pt>
                <c:pt idx="41">
                  <c:v>15.365115774</c:v>
                </c:pt>
                <c:pt idx="42">
                  <c:v>14.4838804202</c:v>
                </c:pt>
                <c:pt idx="43">
                  <c:v>16.748397461500002</c:v>
                </c:pt>
                <c:pt idx="44">
                  <c:v>24.083347355499999</c:v>
                </c:pt>
                <c:pt idx="45">
                  <c:v>24.493914976900001</c:v>
                </c:pt>
                <c:pt idx="46">
                  <c:v>21.8366307744</c:v>
                </c:pt>
                <c:pt idx="47">
                  <c:v>20.131563076700001</c:v>
                </c:pt>
                <c:pt idx="48">
                  <c:v>18.3791813301</c:v>
                </c:pt>
                <c:pt idx="49">
                  <c:v>16.560072914900001</c:v>
                </c:pt>
                <c:pt idx="50">
                  <c:v>15.153835659</c:v>
                </c:pt>
                <c:pt idx="51">
                  <c:v>14.635002611199999</c:v>
                </c:pt>
                <c:pt idx="52">
                  <c:v>19.718407189899999</c:v>
                </c:pt>
                <c:pt idx="53">
                  <c:v>25.932566387000001</c:v>
                </c:pt>
                <c:pt idx="54">
                  <c:v>23.700909178100002</c:v>
                </c:pt>
                <c:pt idx="55">
                  <c:v>21.4574409481</c:v>
                </c:pt>
                <c:pt idx="56">
                  <c:v>19.824653239300002</c:v>
                </c:pt>
                <c:pt idx="57">
                  <c:v>17.9774221465</c:v>
                </c:pt>
                <c:pt idx="58">
                  <c:v>16.224892752599999</c:v>
                </c:pt>
                <c:pt idx="59">
                  <c:v>15.0691060523</c:v>
                </c:pt>
                <c:pt idx="60">
                  <c:v>15.578183493299999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E5-4FCC-B87B-869108D84DB6}"/>
            </c:ext>
          </c:extLst>
        </c:ser>
        <c:ser>
          <c:idx val="2"/>
          <c:order val="2"/>
          <c:tx>
            <c:strRef>
              <c:f>'BAV-OP'!$H$1</c:f>
              <c:strCache>
                <c:ptCount val="1"/>
                <c:pt idx="0">
                  <c:v>OP-W Ecol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'BAV-OP'!$H$2:$H$62</c:f>
              <c:numCache>
                <c:formatCode>#,##0.00\ "%"</c:formatCode>
                <c:ptCount val="61"/>
                <c:pt idx="0">
                  <c:v>7.0635535819999999</c:v>
                </c:pt>
                <c:pt idx="1">
                  <c:v>23.779817597099999</c:v>
                </c:pt>
                <c:pt idx="2">
                  <c:v>30.015002843600001</c:v>
                </c:pt>
                <c:pt idx="3">
                  <c:v>17.893354281400001</c:v>
                </c:pt>
                <c:pt idx="4">
                  <c:v>10.289649148900001</c:v>
                </c:pt>
                <c:pt idx="5">
                  <c:v>8.1623688865599995</c:v>
                </c:pt>
                <c:pt idx="6">
                  <c:v>9.6170052167400009</c:v>
                </c:pt>
                <c:pt idx="7">
                  <c:v>13.593734936900001</c:v>
                </c:pt>
                <c:pt idx="8">
                  <c:v>11.515613552</c:v>
                </c:pt>
                <c:pt idx="9">
                  <c:v>9.0470857451899995</c:v>
                </c:pt>
                <c:pt idx="10">
                  <c:v>8.3304139967699999</c:v>
                </c:pt>
                <c:pt idx="11">
                  <c:v>8.22902159627</c:v>
                </c:pt>
                <c:pt idx="12">
                  <c:v>8.3593997978299992</c:v>
                </c:pt>
                <c:pt idx="13">
                  <c:v>8.5578493728900007</c:v>
                </c:pt>
                <c:pt idx="14">
                  <c:v>8.7398426760600003</c:v>
                </c:pt>
                <c:pt idx="15">
                  <c:v>8.8628372429500004</c:v>
                </c:pt>
                <c:pt idx="16">
                  <c:v>8.9141189861299992</c:v>
                </c:pt>
                <c:pt idx="17">
                  <c:v>8.9025526293000006</c:v>
                </c:pt>
                <c:pt idx="18">
                  <c:v>8.8497604631200009</c:v>
                </c:pt>
                <c:pt idx="19">
                  <c:v>8.7812415079400008</c:v>
                </c:pt>
                <c:pt idx="20">
                  <c:v>8.7191064552699995</c:v>
                </c:pt>
                <c:pt idx="21">
                  <c:v>8.6776948149099997</c:v>
                </c:pt>
                <c:pt idx="22">
                  <c:v>8.6623543008099997</c:v>
                </c:pt>
                <c:pt idx="23">
                  <c:v>8.6707620436199999</c:v>
                </c:pt>
                <c:pt idx="24">
                  <c:v>8.6956975220399997</c:v>
                </c:pt>
                <c:pt idx="25">
                  <c:v>8.7281591807400005</c:v>
                </c:pt>
                <c:pt idx="26">
                  <c:v>8.7599882030400007</c:v>
                </c:pt>
                <c:pt idx="27">
                  <c:v>8.7855388816400009</c:v>
                </c:pt>
                <c:pt idx="28">
                  <c:v>8.8022887478299996</c:v>
                </c:pt>
                <c:pt idx="29">
                  <c:v>8.81054923684</c:v>
                </c:pt>
                <c:pt idx="30">
                  <c:v>8.8125950997500002</c:v>
                </c:pt>
                <c:pt idx="31">
                  <c:v>8.8115768584899996</c:v>
                </c:pt>
                <c:pt idx="32">
                  <c:v>8.8105322989699992</c:v>
                </c:pt>
                <c:pt idx="33">
                  <c:v>8.8117031864099999</c:v>
                </c:pt>
                <c:pt idx="34">
                  <c:v>8.8162333258600007</c:v>
                </c:pt>
                <c:pt idx="35">
                  <c:v>8.8242113206700008</c:v>
                </c:pt>
                <c:pt idx="36">
                  <c:v>8.8349494771600003</c:v>
                </c:pt>
                <c:pt idx="37">
                  <c:v>8.8473654280399998</c:v>
                </c:pt>
                <c:pt idx="38">
                  <c:v>8.8603473272199995</c:v>
                </c:pt>
                <c:pt idx="39">
                  <c:v>8.8730216998099998</c:v>
                </c:pt>
                <c:pt idx="40">
                  <c:v>8.8848890465399997</c:v>
                </c:pt>
                <c:pt idx="41">
                  <c:v>8.8958331500199996</c:v>
                </c:pt>
                <c:pt idx="42">
                  <c:v>8.9060378274400005</c:v>
                </c:pt>
                <c:pt idx="43">
                  <c:v>8.9158569478699992</c:v>
                </c:pt>
                <c:pt idx="44">
                  <c:v>8.9256815084899994</c:v>
                </c:pt>
                <c:pt idx="45">
                  <c:v>8.9358358479500009</c:v>
                </c:pt>
                <c:pt idx="46">
                  <c:v>8.9465191212599997</c:v>
                </c:pt>
                <c:pt idx="47">
                  <c:v>8.9577929239799996</c:v>
                </c:pt>
                <c:pt idx="48">
                  <c:v>8.9696048369400003</c:v>
                </c:pt>
                <c:pt idx="49">
                  <c:v>8.9818321263600005</c:v>
                </c:pt>
                <c:pt idx="50">
                  <c:v>8.9943295909199996</c:v>
                </c:pt>
                <c:pt idx="51">
                  <c:v>9.0069691379499996</c:v>
                </c:pt>
                <c:pt idx="52">
                  <c:v>9.0196641514000007</c:v>
                </c:pt>
                <c:pt idx="53">
                  <c:v>9.0323772590800004</c:v>
                </c:pt>
                <c:pt idx="54">
                  <c:v>9.0451143975000008</c:v>
                </c:pt>
                <c:pt idx="55">
                  <c:v>9.0579104635400007</c:v>
                </c:pt>
                <c:pt idx="56">
                  <c:v>9.0708123115799992</c:v>
                </c:pt>
                <c:pt idx="57">
                  <c:v>9.0838638404399994</c:v>
                </c:pt>
                <c:pt idx="58">
                  <c:v>9.0970960736599995</c:v>
                </c:pt>
                <c:pt idx="59">
                  <c:v>9.1105231385300005</c:v>
                </c:pt>
                <c:pt idx="60">
                  <c:v>9.1241434059300008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E5-4FCC-B87B-869108D84DB6}"/>
            </c:ext>
          </c:extLst>
        </c:ser>
        <c:ser>
          <c:idx val="3"/>
          <c:order val="3"/>
          <c:tx>
            <c:strRef>
              <c:f>'BAV-OP'!$I$1</c:f>
              <c:strCache>
                <c:ptCount val="1"/>
                <c:pt idx="0">
                  <c:v>OP-PW Ecol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'BAV-OP'!$I$2:$I$62</c:f>
              <c:numCache>
                <c:formatCode>#,##0.00\ "%"</c:formatCode>
                <c:ptCount val="61"/>
                <c:pt idx="0">
                  <c:v>8.1553694417300004</c:v>
                </c:pt>
                <c:pt idx="1">
                  <c:v>24.532376379999999</c:v>
                </c:pt>
                <c:pt idx="2">
                  <c:v>38.339833515000002</c:v>
                </c:pt>
                <c:pt idx="3">
                  <c:v>39.120920061900001</c:v>
                </c:pt>
                <c:pt idx="4">
                  <c:v>25.701505348000001</c:v>
                </c:pt>
                <c:pt idx="5">
                  <c:v>21.1863312077</c:v>
                </c:pt>
                <c:pt idx="6">
                  <c:v>19.066500897800001</c:v>
                </c:pt>
                <c:pt idx="7">
                  <c:v>17.674351501099999</c:v>
                </c:pt>
                <c:pt idx="8">
                  <c:v>17.188339150699999</c:v>
                </c:pt>
                <c:pt idx="9">
                  <c:v>20.757698428099999</c:v>
                </c:pt>
                <c:pt idx="10">
                  <c:v>26.273229405799999</c:v>
                </c:pt>
                <c:pt idx="11">
                  <c:v>23.676897976100001</c:v>
                </c:pt>
                <c:pt idx="12">
                  <c:v>21.588682568500001</c:v>
                </c:pt>
                <c:pt idx="13">
                  <c:v>20.471449941500001</c:v>
                </c:pt>
                <c:pt idx="14">
                  <c:v>19.6625541469</c:v>
                </c:pt>
                <c:pt idx="15">
                  <c:v>18.750575120299999</c:v>
                </c:pt>
                <c:pt idx="16">
                  <c:v>18.091345707399999</c:v>
                </c:pt>
                <c:pt idx="17">
                  <c:v>17.9859814245</c:v>
                </c:pt>
                <c:pt idx="18">
                  <c:v>21.301789828299999</c:v>
                </c:pt>
                <c:pt idx="19">
                  <c:v>24.5875257197</c:v>
                </c:pt>
                <c:pt idx="20">
                  <c:v>23.0758036569</c:v>
                </c:pt>
                <c:pt idx="21">
                  <c:v>21.865027536700001</c:v>
                </c:pt>
                <c:pt idx="22">
                  <c:v>21.0273516751</c:v>
                </c:pt>
                <c:pt idx="23">
                  <c:v>20.290301758399998</c:v>
                </c:pt>
                <c:pt idx="24">
                  <c:v>19.459524497699999</c:v>
                </c:pt>
                <c:pt idx="25">
                  <c:v>18.8141811998</c:v>
                </c:pt>
                <c:pt idx="26">
                  <c:v>18.605914913300001</c:v>
                </c:pt>
                <c:pt idx="27">
                  <c:v>19.983125401300001</c:v>
                </c:pt>
                <c:pt idx="28">
                  <c:v>23.533238974500001</c:v>
                </c:pt>
                <c:pt idx="29">
                  <c:v>23.718410095700001</c:v>
                </c:pt>
                <c:pt idx="30">
                  <c:v>22.6906991878</c:v>
                </c:pt>
                <c:pt idx="31">
                  <c:v>21.778527180699999</c:v>
                </c:pt>
                <c:pt idx="32">
                  <c:v>21.077706332799998</c:v>
                </c:pt>
                <c:pt idx="33">
                  <c:v>20.291945513800002</c:v>
                </c:pt>
                <c:pt idx="34">
                  <c:v>19.502790453500001</c:v>
                </c:pt>
                <c:pt idx="35">
                  <c:v>18.984851477700001</c:v>
                </c:pt>
                <c:pt idx="36">
                  <c:v>18.964007424999998</c:v>
                </c:pt>
                <c:pt idx="37">
                  <c:v>21.3593484033</c:v>
                </c:pt>
                <c:pt idx="38">
                  <c:v>24.286779570499998</c:v>
                </c:pt>
                <c:pt idx="39">
                  <c:v>23.702997892500001</c:v>
                </c:pt>
                <c:pt idx="40">
                  <c:v>22.742659355099999</c:v>
                </c:pt>
                <c:pt idx="41">
                  <c:v>21.882828761500001</c:v>
                </c:pt>
                <c:pt idx="42">
                  <c:v>21.200433290300001</c:v>
                </c:pt>
                <c:pt idx="43">
                  <c:v>20.3882512689</c:v>
                </c:pt>
                <c:pt idx="44">
                  <c:v>19.638883901700002</c:v>
                </c:pt>
                <c:pt idx="45">
                  <c:v>19.222471815199999</c:v>
                </c:pt>
                <c:pt idx="46">
                  <c:v>19.386584644799999</c:v>
                </c:pt>
                <c:pt idx="47">
                  <c:v>22.533891119</c:v>
                </c:pt>
                <c:pt idx="48">
                  <c:v>24.750240809299999</c:v>
                </c:pt>
                <c:pt idx="49">
                  <c:v>23.846597374800002</c:v>
                </c:pt>
                <c:pt idx="50">
                  <c:v>22.892177545599999</c:v>
                </c:pt>
                <c:pt idx="51">
                  <c:v>22.0675553371</c:v>
                </c:pt>
                <c:pt idx="52">
                  <c:v>21.3726182662</c:v>
                </c:pt>
                <c:pt idx="53">
                  <c:v>20.543285147300001</c:v>
                </c:pt>
                <c:pt idx="54">
                  <c:v>19.835410017099999</c:v>
                </c:pt>
                <c:pt idx="55">
                  <c:v>19.515000710100001</c:v>
                </c:pt>
                <c:pt idx="56">
                  <c:v>20.081310244099999</c:v>
                </c:pt>
                <c:pt idx="57">
                  <c:v>23.6304878782</c:v>
                </c:pt>
                <c:pt idx="58">
                  <c:v>25.010913925699999</c:v>
                </c:pt>
                <c:pt idx="59">
                  <c:v>24.051123116100001</c:v>
                </c:pt>
                <c:pt idx="60">
                  <c:v>23.095582497199999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E5-4FCC-B87B-869108D8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60112"/>
        <c:axId val="1981760528"/>
      </c:scatterChart>
      <c:valAx>
        <c:axId val="198176011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1760528"/>
        <c:crosses val="autoZero"/>
        <c:crossBetween val="midCat"/>
      </c:valAx>
      <c:valAx>
        <c:axId val="1981760528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176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'BAV-OP'!$J$1</c:f>
              <c:strCache>
                <c:ptCount val="1"/>
                <c:pt idx="0">
                  <c:v>BAU SocI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'BAV-OP'!$J$2:$J$62</c:f>
              <c:numCache>
                <c:formatCode>#,##0.00\ "%"</c:formatCode>
                <c:ptCount val="61"/>
                <c:pt idx="0">
                  <c:v>61.108540746000003</c:v>
                </c:pt>
                <c:pt idx="1">
                  <c:v>65.087398777999994</c:v>
                </c:pt>
                <c:pt idx="2">
                  <c:v>67.508311168500001</c:v>
                </c:pt>
                <c:pt idx="3">
                  <c:v>68.328551517700006</c:v>
                </c:pt>
                <c:pt idx="4">
                  <c:v>68.520531676900006</c:v>
                </c:pt>
                <c:pt idx="5">
                  <c:v>68.716196973799995</c:v>
                </c:pt>
                <c:pt idx="6">
                  <c:v>69.010421140199995</c:v>
                </c:pt>
                <c:pt idx="7">
                  <c:v>69.379572323999994</c:v>
                </c:pt>
                <c:pt idx="8">
                  <c:v>69.716856656100006</c:v>
                </c:pt>
                <c:pt idx="9">
                  <c:v>69.776944775800004</c:v>
                </c:pt>
                <c:pt idx="10">
                  <c:v>69.6133572034</c:v>
                </c:pt>
                <c:pt idx="11">
                  <c:v>69.414599266099998</c:v>
                </c:pt>
                <c:pt idx="12">
                  <c:v>69.257893729200006</c:v>
                </c:pt>
                <c:pt idx="13">
                  <c:v>69.164060130099998</c:v>
                </c:pt>
                <c:pt idx="14">
                  <c:v>69.127622569600007</c:v>
                </c:pt>
                <c:pt idx="15">
                  <c:v>69.131332047900003</c:v>
                </c:pt>
                <c:pt idx="16">
                  <c:v>69.155276563499996</c:v>
                </c:pt>
                <c:pt idx="17">
                  <c:v>69.182473880000003</c:v>
                </c:pt>
                <c:pt idx="18">
                  <c:v>69.201576706599994</c:v>
                </c:pt>
                <c:pt idx="19">
                  <c:v>69.207358013800004</c:v>
                </c:pt>
                <c:pt idx="20">
                  <c:v>69.199721895400003</c:v>
                </c:pt>
                <c:pt idx="21">
                  <c:v>69.181955772199998</c:v>
                </c:pt>
                <c:pt idx="22">
                  <c:v>69.158834447900006</c:v>
                </c:pt>
                <c:pt idx="23">
                  <c:v>69.1350257924</c:v>
                </c:pt>
                <c:pt idx="24">
                  <c:v>69.114050028700007</c:v>
                </c:pt>
                <c:pt idx="25">
                  <c:v>69.097846022699997</c:v>
                </c:pt>
                <c:pt idx="26">
                  <c:v>69.086842504000003</c:v>
                </c:pt>
                <c:pt idx="27">
                  <c:v>69.080348192900004</c:v>
                </c:pt>
                <c:pt idx="28">
                  <c:v>69.077063355899995</c:v>
                </c:pt>
                <c:pt idx="29">
                  <c:v>69.075555382700003</c:v>
                </c:pt>
                <c:pt idx="30">
                  <c:v>69.074604048200001</c:v>
                </c:pt>
                <c:pt idx="31">
                  <c:v>69.073384312599998</c:v>
                </c:pt>
                <c:pt idx="32">
                  <c:v>69.071501674199993</c:v>
                </c:pt>
                <c:pt idx="33">
                  <c:v>69.0689223121</c:v>
                </c:pt>
                <c:pt idx="34">
                  <c:v>69.065848862300001</c:v>
                </c:pt>
                <c:pt idx="35">
                  <c:v>69.0625873523</c:v>
                </c:pt>
                <c:pt idx="36">
                  <c:v>69.059437420600005</c:v>
                </c:pt>
                <c:pt idx="37">
                  <c:v>69.056622025999999</c:v>
                </c:pt>
                <c:pt idx="38">
                  <c:v>69.054258694200001</c:v>
                </c:pt>
                <c:pt idx="39">
                  <c:v>69.052364482100003</c:v>
                </c:pt>
                <c:pt idx="40">
                  <c:v>69.050882038599994</c:v>
                </c:pt>
                <c:pt idx="41">
                  <c:v>69.049713756800003</c:v>
                </c:pt>
                <c:pt idx="42">
                  <c:v>69.048753659599996</c:v>
                </c:pt>
                <c:pt idx="43">
                  <c:v>69.0479106879</c:v>
                </c:pt>
                <c:pt idx="44">
                  <c:v>69.047121127200001</c:v>
                </c:pt>
                <c:pt idx="45">
                  <c:v>69.046351078800001</c:v>
                </c:pt>
                <c:pt idx="46">
                  <c:v>69.045591775199995</c:v>
                </c:pt>
                <c:pt idx="47">
                  <c:v>69.044851172099996</c:v>
                </c:pt>
                <c:pt idx="48">
                  <c:v>69.044144906200003</c:v>
                </c:pt>
                <c:pt idx="49">
                  <c:v>69.043488805099997</c:v>
                </c:pt>
                <c:pt idx="50">
                  <c:v>69.042894052099996</c:v>
                </c:pt>
                <c:pt idx="51">
                  <c:v>69.0423651535</c:v>
                </c:pt>
                <c:pt idx="52">
                  <c:v>69.041900187400003</c:v>
                </c:pt>
                <c:pt idx="53">
                  <c:v>69.041492493199996</c:v>
                </c:pt>
                <c:pt idx="54">
                  <c:v>69.041132924300001</c:v>
                </c:pt>
                <c:pt idx="55">
                  <c:v>69.040811968900002</c:v>
                </c:pt>
                <c:pt idx="56">
                  <c:v>69.040521303700004</c:v>
                </c:pt>
                <c:pt idx="57">
                  <c:v>69.040254625200006</c:v>
                </c:pt>
                <c:pt idx="58">
                  <c:v>69.040007811600006</c:v>
                </c:pt>
                <c:pt idx="59">
                  <c:v>69.039778601899997</c:v>
                </c:pt>
                <c:pt idx="60">
                  <c:v>69.039566020899997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E5-4FCC-B87B-869108D84DB6}"/>
            </c:ext>
          </c:extLst>
        </c:ser>
        <c:ser>
          <c:idx val="1"/>
          <c:order val="1"/>
          <c:tx>
            <c:strRef>
              <c:f>'BAV-OP'!$K$1</c:f>
              <c:strCache>
                <c:ptCount val="1"/>
                <c:pt idx="0">
                  <c:v>OP-P SocI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'BAV-OP'!$K$2:$K$62</c:f>
              <c:numCache>
                <c:formatCode>#,##0.00\ "%"</c:formatCode>
                <c:ptCount val="61"/>
                <c:pt idx="0">
                  <c:v>61.220904235299997</c:v>
                </c:pt>
                <c:pt idx="1">
                  <c:v>65.175235365600003</c:v>
                </c:pt>
                <c:pt idx="2">
                  <c:v>67.9583153345</c:v>
                </c:pt>
                <c:pt idx="3">
                  <c:v>69.384994410299996</c:v>
                </c:pt>
                <c:pt idx="4">
                  <c:v>69.466313627600002</c:v>
                </c:pt>
                <c:pt idx="5">
                  <c:v>69.120360908799995</c:v>
                </c:pt>
                <c:pt idx="6">
                  <c:v>68.834020862000003</c:v>
                </c:pt>
                <c:pt idx="7">
                  <c:v>68.789607879299993</c:v>
                </c:pt>
                <c:pt idx="8">
                  <c:v>69.047494232899993</c:v>
                </c:pt>
                <c:pt idx="9">
                  <c:v>69.570212519600005</c:v>
                </c:pt>
                <c:pt idx="10">
                  <c:v>70.060890963000006</c:v>
                </c:pt>
                <c:pt idx="11">
                  <c:v>69.993758903499995</c:v>
                </c:pt>
                <c:pt idx="12">
                  <c:v>69.478969499499996</c:v>
                </c:pt>
                <c:pt idx="13">
                  <c:v>68.906677963600004</c:v>
                </c:pt>
                <c:pt idx="14">
                  <c:v>68.484823446299998</c:v>
                </c:pt>
                <c:pt idx="15">
                  <c:v>68.327655179600001</c:v>
                </c:pt>
                <c:pt idx="16">
                  <c:v>68.484986582299996</c:v>
                </c:pt>
                <c:pt idx="17">
                  <c:v>68.934912541700001</c:v>
                </c:pt>
                <c:pt idx="18">
                  <c:v>69.516394777299993</c:v>
                </c:pt>
                <c:pt idx="19">
                  <c:v>69.737118144600004</c:v>
                </c:pt>
                <c:pt idx="20">
                  <c:v>69.420122211099994</c:v>
                </c:pt>
                <c:pt idx="21">
                  <c:v>68.915593226599995</c:v>
                </c:pt>
                <c:pt idx="22">
                  <c:v>68.475709268599999</c:v>
                </c:pt>
                <c:pt idx="23">
                  <c:v>68.239485644400006</c:v>
                </c:pt>
                <c:pt idx="24">
                  <c:v>68.283440401600004</c:v>
                </c:pt>
                <c:pt idx="25">
                  <c:v>68.615385763299997</c:v>
                </c:pt>
                <c:pt idx="26">
                  <c:v>69.166682852099996</c:v>
                </c:pt>
                <c:pt idx="27">
                  <c:v>69.6066931931</c:v>
                </c:pt>
                <c:pt idx="28">
                  <c:v>69.524321444899996</c:v>
                </c:pt>
                <c:pt idx="29">
                  <c:v>69.083930529400007</c:v>
                </c:pt>
                <c:pt idx="30">
                  <c:v>68.599518440300002</c:v>
                </c:pt>
                <c:pt idx="31">
                  <c:v>68.249074065599999</c:v>
                </c:pt>
                <c:pt idx="32">
                  <c:v>68.140426312599999</c:v>
                </c:pt>
                <c:pt idx="33">
                  <c:v>68.319164259399997</c:v>
                </c:pt>
                <c:pt idx="34">
                  <c:v>68.763214528899994</c:v>
                </c:pt>
                <c:pt idx="35">
                  <c:v>69.333625325699998</c:v>
                </c:pt>
                <c:pt idx="36">
                  <c:v>69.586162351499993</c:v>
                </c:pt>
                <c:pt idx="37">
                  <c:v>69.319518724999995</c:v>
                </c:pt>
                <c:pt idx="38">
                  <c:v>68.840089935999998</c:v>
                </c:pt>
                <c:pt idx="39">
                  <c:v>68.398184490899993</c:v>
                </c:pt>
                <c:pt idx="40">
                  <c:v>68.137441003800006</c:v>
                </c:pt>
                <c:pt idx="41">
                  <c:v>68.1423129203</c:v>
                </c:pt>
                <c:pt idx="42">
                  <c:v>68.431730459400001</c:v>
                </c:pt>
                <c:pt idx="43">
                  <c:v>68.956687407700002</c:v>
                </c:pt>
                <c:pt idx="44">
                  <c:v>69.467846596699999</c:v>
                </c:pt>
                <c:pt idx="45">
                  <c:v>69.513287954000006</c:v>
                </c:pt>
                <c:pt idx="46">
                  <c:v>69.130508433599999</c:v>
                </c:pt>
                <c:pt idx="47">
                  <c:v>68.645795354000001</c:v>
                </c:pt>
                <c:pt idx="48">
                  <c:v>68.259077307200002</c:v>
                </c:pt>
                <c:pt idx="49">
                  <c:v>68.090732625100003</c:v>
                </c:pt>
                <c:pt idx="50">
                  <c:v>68.202036861899998</c:v>
                </c:pt>
                <c:pt idx="51">
                  <c:v>68.587275003399995</c:v>
                </c:pt>
                <c:pt idx="52">
                  <c:v>69.158116448800001</c:v>
                </c:pt>
                <c:pt idx="53">
                  <c:v>69.542376687100003</c:v>
                </c:pt>
                <c:pt idx="54">
                  <c:v>69.397653288599997</c:v>
                </c:pt>
                <c:pt idx="55">
                  <c:v>68.948040600100001</c:v>
                </c:pt>
                <c:pt idx="56">
                  <c:v>68.481489371099997</c:v>
                </c:pt>
                <c:pt idx="57">
                  <c:v>68.162136343</c:v>
                </c:pt>
                <c:pt idx="58">
                  <c:v>68.090216757899995</c:v>
                </c:pt>
                <c:pt idx="59">
                  <c:v>68.303392318600004</c:v>
                </c:pt>
                <c:pt idx="60">
                  <c:v>68.772698595899996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E5-4FCC-B87B-869108D84DB6}"/>
            </c:ext>
          </c:extLst>
        </c:ser>
        <c:ser>
          <c:idx val="2"/>
          <c:order val="2"/>
          <c:tx>
            <c:strRef>
              <c:f>'BAV-OP'!$L$1</c:f>
              <c:strCache>
                <c:ptCount val="1"/>
                <c:pt idx="0">
                  <c:v>OP-W SocI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'BAV-OP'!$L$2:$L$62</c:f>
              <c:numCache>
                <c:formatCode>#,##0.00\ "%"</c:formatCode>
                <c:ptCount val="61"/>
                <c:pt idx="0">
                  <c:v>76.348621033699999</c:v>
                </c:pt>
                <c:pt idx="1">
                  <c:v>76.933328171300005</c:v>
                </c:pt>
                <c:pt idx="2">
                  <c:v>77.278271463099998</c:v>
                </c:pt>
                <c:pt idx="3">
                  <c:v>77.403029516299995</c:v>
                </c:pt>
                <c:pt idx="4">
                  <c:v>77.452917274200004</c:v>
                </c:pt>
                <c:pt idx="5">
                  <c:v>77.512979774599998</c:v>
                </c:pt>
                <c:pt idx="6">
                  <c:v>77.585918502300004</c:v>
                </c:pt>
                <c:pt idx="7">
                  <c:v>77.643860596300001</c:v>
                </c:pt>
                <c:pt idx="8">
                  <c:v>77.652908103599998</c:v>
                </c:pt>
                <c:pt idx="9">
                  <c:v>77.630828870499997</c:v>
                </c:pt>
                <c:pt idx="10">
                  <c:v>77.606494406699994</c:v>
                </c:pt>
                <c:pt idx="11">
                  <c:v>77.588557965199996</c:v>
                </c:pt>
                <c:pt idx="12">
                  <c:v>77.577020983799997</c:v>
                </c:pt>
                <c:pt idx="13">
                  <c:v>77.569286982999998</c:v>
                </c:pt>
                <c:pt idx="14">
                  <c:v>77.562589058100002</c:v>
                </c:pt>
                <c:pt idx="15">
                  <c:v>77.554989701599993</c:v>
                </c:pt>
                <c:pt idx="16">
                  <c:v>77.5456693199</c:v>
                </c:pt>
                <c:pt idx="17">
                  <c:v>77.534804272499997</c:v>
                </c:pt>
                <c:pt idx="18">
                  <c:v>77.523222396700007</c:v>
                </c:pt>
                <c:pt idx="19">
                  <c:v>77.511988963700006</c:v>
                </c:pt>
                <c:pt idx="20">
                  <c:v>77.502046125000007</c:v>
                </c:pt>
                <c:pt idx="21">
                  <c:v>77.493983755299993</c:v>
                </c:pt>
                <c:pt idx="22">
                  <c:v>77.487964900600005</c:v>
                </c:pt>
                <c:pt idx="23">
                  <c:v>77.483781347900006</c:v>
                </c:pt>
                <c:pt idx="24">
                  <c:v>77.480987356399993</c:v>
                </c:pt>
                <c:pt idx="25">
                  <c:v>77.479055013199996</c:v>
                </c:pt>
                <c:pt idx="26">
                  <c:v>77.477506717599994</c:v>
                </c:pt>
                <c:pt idx="27">
                  <c:v>77.475999643799994</c:v>
                </c:pt>
                <c:pt idx="28">
                  <c:v>77.474356065400002</c:v>
                </c:pt>
                <c:pt idx="29">
                  <c:v>77.4725478302</c:v>
                </c:pt>
                <c:pt idx="30">
                  <c:v>77.4706514752</c:v>
                </c:pt>
                <c:pt idx="31">
                  <c:v>77.468792623400006</c:v>
                </c:pt>
                <c:pt idx="32">
                  <c:v>77.467095624699994</c:v>
                </c:pt>
                <c:pt idx="33">
                  <c:v>77.465648736199995</c:v>
                </c:pt>
                <c:pt idx="34">
                  <c:v>77.464488577400004</c:v>
                </c:pt>
                <c:pt idx="35">
                  <c:v>77.463601946799997</c:v>
                </c:pt>
                <c:pt idx="36">
                  <c:v>77.462939497600004</c:v>
                </c:pt>
                <c:pt idx="37">
                  <c:v>77.462434537700005</c:v>
                </c:pt>
                <c:pt idx="38">
                  <c:v>77.462020961600004</c:v>
                </c:pt>
                <c:pt idx="39">
                  <c:v>77.461646273499994</c:v>
                </c:pt>
                <c:pt idx="40">
                  <c:v>77.461277997300002</c:v>
                </c:pt>
                <c:pt idx="41">
                  <c:v>77.460903818999995</c:v>
                </c:pt>
                <c:pt idx="42">
                  <c:v>77.4605271856</c:v>
                </c:pt>
                <c:pt idx="43">
                  <c:v>77.460160663400004</c:v>
                </c:pt>
                <c:pt idx="44">
                  <c:v>77.459819226500002</c:v>
                </c:pt>
                <c:pt idx="45">
                  <c:v>77.459515051400004</c:v>
                </c:pt>
                <c:pt idx="46">
                  <c:v>77.459254588700006</c:v>
                </c:pt>
                <c:pt idx="47">
                  <c:v>77.459037931400005</c:v>
                </c:pt>
                <c:pt idx="48">
                  <c:v>77.458859954600001</c:v>
                </c:pt>
                <c:pt idx="49">
                  <c:v>77.458712436699997</c:v>
                </c:pt>
                <c:pt idx="50">
                  <c:v>77.458586372499994</c:v>
                </c:pt>
                <c:pt idx="51">
                  <c:v>77.458473867500004</c:v>
                </c:pt>
                <c:pt idx="52">
                  <c:v>77.458369282600003</c:v>
                </c:pt>
                <c:pt idx="53">
                  <c:v>77.4582695669</c:v>
                </c:pt>
                <c:pt idx="54">
                  <c:v>77.458173928299999</c:v>
                </c:pt>
                <c:pt idx="55">
                  <c:v>77.458083102800003</c:v>
                </c:pt>
                <c:pt idx="56">
                  <c:v>77.457998506400003</c:v>
                </c:pt>
                <c:pt idx="57">
                  <c:v>77.457921496699996</c:v>
                </c:pt>
                <c:pt idx="58">
                  <c:v>77.457852884000005</c:v>
                </c:pt>
                <c:pt idx="59">
                  <c:v>77.457792732200005</c:v>
                </c:pt>
                <c:pt idx="60">
                  <c:v>77.457740409899998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E5-4FCC-B87B-869108D84DB6}"/>
            </c:ext>
          </c:extLst>
        </c:ser>
        <c:ser>
          <c:idx val="3"/>
          <c:order val="3"/>
          <c:tx>
            <c:strRef>
              <c:f>'BAV-OP'!$M$1</c:f>
              <c:strCache>
                <c:ptCount val="1"/>
                <c:pt idx="0">
                  <c:v>OP-PW SocI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'BAV-OP'!$M$2:$M$62</c:f>
              <c:numCache>
                <c:formatCode>#,##0.00\ "%"</c:formatCode>
                <c:ptCount val="61"/>
                <c:pt idx="0">
                  <c:v>69.437858289900007</c:v>
                </c:pt>
                <c:pt idx="1">
                  <c:v>71.571673743999995</c:v>
                </c:pt>
                <c:pt idx="2">
                  <c:v>73.063365857799994</c:v>
                </c:pt>
                <c:pt idx="3">
                  <c:v>73.806070742599999</c:v>
                </c:pt>
                <c:pt idx="4">
                  <c:v>73.861195421100007</c:v>
                </c:pt>
                <c:pt idx="5">
                  <c:v>73.7272096903</c:v>
                </c:pt>
                <c:pt idx="6">
                  <c:v>73.6378966244</c:v>
                </c:pt>
                <c:pt idx="7">
                  <c:v>73.657841751800007</c:v>
                </c:pt>
                <c:pt idx="8">
                  <c:v>73.798591942900003</c:v>
                </c:pt>
                <c:pt idx="9">
                  <c:v>74.029017047899998</c:v>
                </c:pt>
                <c:pt idx="10">
                  <c:v>74.187373127100003</c:v>
                </c:pt>
                <c:pt idx="11">
                  <c:v>74.093329326299994</c:v>
                </c:pt>
                <c:pt idx="12">
                  <c:v>73.862748712599995</c:v>
                </c:pt>
                <c:pt idx="13">
                  <c:v>73.636329957699999</c:v>
                </c:pt>
                <c:pt idx="14">
                  <c:v>73.478708985500006</c:v>
                </c:pt>
                <c:pt idx="15">
                  <c:v>73.416364962800003</c:v>
                </c:pt>
                <c:pt idx="16">
                  <c:v>73.460019781300005</c:v>
                </c:pt>
                <c:pt idx="17">
                  <c:v>73.6008305931</c:v>
                </c:pt>
                <c:pt idx="18">
                  <c:v>73.799904795499998</c:v>
                </c:pt>
                <c:pt idx="19">
                  <c:v>73.918229460899994</c:v>
                </c:pt>
                <c:pt idx="20">
                  <c:v>73.851395911799997</c:v>
                </c:pt>
                <c:pt idx="21">
                  <c:v>73.687249286699995</c:v>
                </c:pt>
                <c:pt idx="22">
                  <c:v>73.517387063800001</c:v>
                </c:pt>
                <c:pt idx="23">
                  <c:v>73.3922601238</c:v>
                </c:pt>
                <c:pt idx="24">
                  <c:v>73.338717021099995</c:v>
                </c:pt>
                <c:pt idx="25">
                  <c:v>73.370983056699998</c:v>
                </c:pt>
                <c:pt idx="26">
                  <c:v>73.486152776099999</c:v>
                </c:pt>
                <c:pt idx="27">
                  <c:v>73.661518086399994</c:v>
                </c:pt>
                <c:pt idx="28">
                  <c:v>73.816762238300001</c:v>
                </c:pt>
                <c:pt idx="29">
                  <c:v>73.825425640899994</c:v>
                </c:pt>
                <c:pt idx="30">
                  <c:v>73.703933192999997</c:v>
                </c:pt>
                <c:pt idx="31">
                  <c:v>73.538720925600003</c:v>
                </c:pt>
                <c:pt idx="32">
                  <c:v>73.392087237799998</c:v>
                </c:pt>
                <c:pt idx="33">
                  <c:v>73.300054370500007</c:v>
                </c:pt>
                <c:pt idx="34">
                  <c:v>73.283736418199993</c:v>
                </c:pt>
                <c:pt idx="35">
                  <c:v>73.351518108199997</c:v>
                </c:pt>
                <c:pt idx="36">
                  <c:v>73.494091115000003</c:v>
                </c:pt>
                <c:pt idx="37">
                  <c:v>73.679695347600003</c:v>
                </c:pt>
                <c:pt idx="38">
                  <c:v>73.803408601300006</c:v>
                </c:pt>
                <c:pt idx="39">
                  <c:v>73.770327112399997</c:v>
                </c:pt>
                <c:pt idx="40">
                  <c:v>73.633373191399997</c:v>
                </c:pt>
                <c:pt idx="41">
                  <c:v>73.471689603000002</c:v>
                </c:pt>
                <c:pt idx="42">
                  <c:v>73.339588880899996</c:v>
                </c:pt>
                <c:pt idx="43">
                  <c:v>73.267668507300002</c:v>
                </c:pt>
                <c:pt idx="44">
                  <c:v>73.274140404099995</c:v>
                </c:pt>
                <c:pt idx="45">
                  <c:v>73.363282209800005</c:v>
                </c:pt>
                <c:pt idx="46">
                  <c:v>73.521365588500004</c:v>
                </c:pt>
                <c:pt idx="47">
                  <c:v>73.706476072300006</c:v>
                </c:pt>
                <c:pt idx="48">
                  <c:v>73.798926905599998</c:v>
                </c:pt>
                <c:pt idx="49">
                  <c:v>73.736418093099999</c:v>
                </c:pt>
                <c:pt idx="50">
                  <c:v>73.589289407199999</c:v>
                </c:pt>
                <c:pt idx="51">
                  <c:v>73.4312114815</c:v>
                </c:pt>
                <c:pt idx="52">
                  <c:v>73.310750476600006</c:v>
                </c:pt>
                <c:pt idx="53">
                  <c:v>73.254954373499999</c:v>
                </c:pt>
                <c:pt idx="54">
                  <c:v>73.279565289999994</c:v>
                </c:pt>
                <c:pt idx="55">
                  <c:v>73.385259370499995</c:v>
                </c:pt>
                <c:pt idx="56">
                  <c:v>73.554533055999997</c:v>
                </c:pt>
                <c:pt idx="57">
                  <c:v>73.732791136000003</c:v>
                </c:pt>
                <c:pt idx="58">
                  <c:v>73.793790529000006</c:v>
                </c:pt>
                <c:pt idx="59">
                  <c:v>73.707837364200003</c:v>
                </c:pt>
                <c:pt idx="60">
                  <c:v>73.553778964800003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E5-4FCC-B87B-869108D8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60112"/>
        <c:axId val="1981760528"/>
      </c:scatterChart>
      <c:valAx>
        <c:axId val="198176011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1760528"/>
        <c:crosses val="autoZero"/>
        <c:crossBetween val="midCat"/>
      </c:valAx>
      <c:valAx>
        <c:axId val="198176052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176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'BAV-OP'!$N$1</c:f>
              <c:strCache>
                <c:ptCount val="1"/>
                <c:pt idx="0">
                  <c:v>BAU CPI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'BAV-OP'!$N$2:$N$62</c:f>
              <c:numCache>
                <c:formatCode>#,##0.00\ "%"</c:formatCode>
                <c:ptCount val="61"/>
                <c:pt idx="0">
                  <c:v>56.7519570722</c:v>
                </c:pt>
                <c:pt idx="1">
                  <c:v>60.275445516399998</c:v>
                </c:pt>
                <c:pt idx="2">
                  <c:v>61.244280630200002</c:v>
                </c:pt>
                <c:pt idx="3">
                  <c:v>56.581161609500001</c:v>
                </c:pt>
                <c:pt idx="4">
                  <c:v>56.421059661000001</c:v>
                </c:pt>
                <c:pt idx="5">
                  <c:v>56.956124858599999</c:v>
                </c:pt>
                <c:pt idx="6">
                  <c:v>57.3927397255</c:v>
                </c:pt>
                <c:pt idx="7">
                  <c:v>58.085323064900003</c:v>
                </c:pt>
                <c:pt idx="8">
                  <c:v>59.156130351800002</c:v>
                </c:pt>
                <c:pt idx="9">
                  <c:v>57.897529566199999</c:v>
                </c:pt>
                <c:pt idx="10">
                  <c:v>57.3411494972</c:v>
                </c:pt>
                <c:pt idx="11">
                  <c:v>57.218439003699999</c:v>
                </c:pt>
                <c:pt idx="12">
                  <c:v>57.206597907999999</c:v>
                </c:pt>
                <c:pt idx="13">
                  <c:v>57.207897314599997</c:v>
                </c:pt>
                <c:pt idx="14">
                  <c:v>57.199354690600003</c:v>
                </c:pt>
                <c:pt idx="15">
                  <c:v>57.181529179199998</c:v>
                </c:pt>
                <c:pt idx="16">
                  <c:v>57.159442909500001</c:v>
                </c:pt>
                <c:pt idx="17">
                  <c:v>57.136346719700001</c:v>
                </c:pt>
                <c:pt idx="18">
                  <c:v>57.112993166099997</c:v>
                </c:pt>
                <c:pt idx="19">
                  <c:v>57.088798870399998</c:v>
                </c:pt>
                <c:pt idx="20">
                  <c:v>57.063085139999998</c:v>
                </c:pt>
                <c:pt idx="21">
                  <c:v>57.035727750500001</c:v>
                </c:pt>
                <c:pt idx="22">
                  <c:v>57.007212184399997</c:v>
                </c:pt>
                <c:pt idx="23">
                  <c:v>56.978358622000002</c:v>
                </c:pt>
                <c:pt idx="24">
                  <c:v>56.949985422499999</c:v>
                </c:pt>
                <c:pt idx="25">
                  <c:v>56.922671094999998</c:v>
                </c:pt>
                <c:pt idx="26">
                  <c:v>56.896661219800002</c:v>
                </c:pt>
                <c:pt idx="27">
                  <c:v>56.871895578100002</c:v>
                </c:pt>
                <c:pt idx="28">
                  <c:v>56.848104183899999</c:v>
                </c:pt>
                <c:pt idx="29">
                  <c:v>56.824922942999997</c:v>
                </c:pt>
                <c:pt idx="30">
                  <c:v>56.801994059800002</c:v>
                </c:pt>
                <c:pt idx="31">
                  <c:v>56.779032985900002</c:v>
                </c:pt>
                <c:pt idx="32">
                  <c:v>56.755857918799997</c:v>
                </c:pt>
                <c:pt idx="33">
                  <c:v>56.732387785999997</c:v>
                </c:pt>
                <c:pt idx="34">
                  <c:v>56.708619812999999</c:v>
                </c:pt>
                <c:pt idx="35">
                  <c:v>56.684598643199998</c:v>
                </c:pt>
                <c:pt idx="36">
                  <c:v>56.660386744599997</c:v>
                </c:pt>
                <c:pt idx="37">
                  <c:v>56.636042100899999</c:v>
                </c:pt>
                <c:pt idx="38">
                  <c:v>56.611605378699998</c:v>
                </c:pt>
                <c:pt idx="39">
                  <c:v>56.587095860200002</c:v>
                </c:pt>
                <c:pt idx="40">
                  <c:v>56.562513765299997</c:v>
                </c:pt>
                <c:pt idx="41">
                  <c:v>56.537846085300004</c:v>
                </c:pt>
                <c:pt idx="42">
                  <c:v>56.513073356200003</c:v>
                </c:pt>
                <c:pt idx="43">
                  <c:v>56.488175550500003</c:v>
                </c:pt>
                <c:pt idx="44">
                  <c:v>56.4631361191</c:v>
                </c:pt>
                <c:pt idx="45">
                  <c:v>56.437943965700001</c:v>
                </c:pt>
                <c:pt idx="46">
                  <c:v>56.412593656200002</c:v>
                </c:pt>
                <c:pt idx="47">
                  <c:v>56.387084435600002</c:v>
                </c:pt>
                <c:pt idx="48">
                  <c:v>56.361418671999999</c:v>
                </c:pt>
                <c:pt idx="49">
                  <c:v>56.335600250399999</c:v>
                </c:pt>
                <c:pt idx="50">
                  <c:v>56.309633259500004</c:v>
                </c:pt>
                <c:pt idx="51">
                  <c:v>56.283521132799997</c:v>
                </c:pt>
                <c:pt idx="52">
                  <c:v>56.257266251200001</c:v>
                </c:pt>
                <c:pt idx="53">
                  <c:v>56.2308699182</c:v>
                </c:pt>
                <c:pt idx="54">
                  <c:v>56.204332571999998</c:v>
                </c:pt>
                <c:pt idx="55">
                  <c:v>56.177654103599998</c:v>
                </c:pt>
                <c:pt idx="56">
                  <c:v>56.150834171500001</c:v>
                </c:pt>
                <c:pt idx="57">
                  <c:v>56.123872450100002</c:v>
                </c:pt>
                <c:pt idx="58">
                  <c:v>56.096768780200001</c:v>
                </c:pt>
                <c:pt idx="59">
                  <c:v>56.069523227600001</c:v>
                </c:pt>
                <c:pt idx="60">
                  <c:v>56.042136067199998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E5-4FCC-B87B-869108D84DB6}"/>
            </c:ext>
          </c:extLst>
        </c:ser>
        <c:ser>
          <c:idx val="1"/>
          <c:order val="1"/>
          <c:tx>
            <c:strRef>
              <c:f>'BAV-OP'!$O$1</c:f>
              <c:strCache>
                <c:ptCount val="1"/>
                <c:pt idx="0">
                  <c:v>OP-P CPI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'BAV-OP'!$O$2:$O$62</c:f>
              <c:numCache>
                <c:formatCode>#,##0.00\ "%"</c:formatCode>
                <c:ptCount val="61"/>
                <c:pt idx="0">
                  <c:v>56.725112713400001</c:v>
                </c:pt>
                <c:pt idx="1">
                  <c:v>59.038330037100003</c:v>
                </c:pt>
                <c:pt idx="2">
                  <c:v>71.833916759900006</c:v>
                </c:pt>
                <c:pt idx="3">
                  <c:v>62.749349781600003</c:v>
                </c:pt>
                <c:pt idx="4">
                  <c:v>58.200089125799998</c:v>
                </c:pt>
                <c:pt idx="5">
                  <c:v>57.744574988700002</c:v>
                </c:pt>
                <c:pt idx="6">
                  <c:v>57.726727891700001</c:v>
                </c:pt>
                <c:pt idx="7">
                  <c:v>57.8874098438</c:v>
                </c:pt>
                <c:pt idx="8">
                  <c:v>58.279054708300002</c:v>
                </c:pt>
                <c:pt idx="9">
                  <c:v>60.677755282100001</c:v>
                </c:pt>
                <c:pt idx="10">
                  <c:v>63.151451627599997</c:v>
                </c:pt>
                <c:pt idx="11">
                  <c:v>59.813928748800002</c:v>
                </c:pt>
                <c:pt idx="12">
                  <c:v>58.346732536399998</c:v>
                </c:pt>
                <c:pt idx="13">
                  <c:v>57.765338010800001</c:v>
                </c:pt>
                <c:pt idx="14">
                  <c:v>57.436384062899997</c:v>
                </c:pt>
                <c:pt idx="15">
                  <c:v>57.3275557005</c:v>
                </c:pt>
                <c:pt idx="16">
                  <c:v>57.521433420199997</c:v>
                </c:pt>
                <c:pt idx="17">
                  <c:v>58.680075278300002</c:v>
                </c:pt>
                <c:pt idx="18">
                  <c:v>61.823741754399997</c:v>
                </c:pt>
                <c:pt idx="19">
                  <c:v>60.323748574200003</c:v>
                </c:pt>
                <c:pt idx="20">
                  <c:v>58.275223326099997</c:v>
                </c:pt>
                <c:pt idx="21">
                  <c:v>57.523676978499999</c:v>
                </c:pt>
                <c:pt idx="22">
                  <c:v>57.155733165500003</c:v>
                </c:pt>
                <c:pt idx="23">
                  <c:v>56.984307029599996</c:v>
                </c:pt>
                <c:pt idx="24">
                  <c:v>57.078377324800002</c:v>
                </c:pt>
                <c:pt idx="25">
                  <c:v>57.468634550700003</c:v>
                </c:pt>
                <c:pt idx="26">
                  <c:v>60.048599037499997</c:v>
                </c:pt>
                <c:pt idx="27">
                  <c:v>61.157483657999997</c:v>
                </c:pt>
                <c:pt idx="28">
                  <c:v>58.48517648</c:v>
                </c:pt>
                <c:pt idx="29">
                  <c:v>57.368271787399998</c:v>
                </c:pt>
                <c:pt idx="30">
                  <c:v>56.891681963499998</c:v>
                </c:pt>
                <c:pt idx="31">
                  <c:v>56.627379886600004</c:v>
                </c:pt>
                <c:pt idx="32">
                  <c:v>56.590537253400001</c:v>
                </c:pt>
                <c:pt idx="33">
                  <c:v>56.834123199300002</c:v>
                </c:pt>
                <c:pt idx="34">
                  <c:v>57.844604173199997</c:v>
                </c:pt>
                <c:pt idx="35">
                  <c:v>60.695960025700003</c:v>
                </c:pt>
                <c:pt idx="36">
                  <c:v>59.462455818099997</c:v>
                </c:pt>
                <c:pt idx="37">
                  <c:v>57.372280470900002</c:v>
                </c:pt>
                <c:pt idx="38">
                  <c:v>56.6000537217</c:v>
                </c:pt>
                <c:pt idx="39">
                  <c:v>56.265777679300001</c:v>
                </c:pt>
                <c:pt idx="40">
                  <c:v>56.121396671900001</c:v>
                </c:pt>
                <c:pt idx="41">
                  <c:v>56.227100891900001</c:v>
                </c:pt>
                <c:pt idx="42">
                  <c:v>56.609991658699997</c:v>
                </c:pt>
                <c:pt idx="43">
                  <c:v>58.640581775599998</c:v>
                </c:pt>
                <c:pt idx="44">
                  <c:v>60.461391684699997</c:v>
                </c:pt>
                <c:pt idx="45">
                  <c:v>57.757712348299997</c:v>
                </c:pt>
                <c:pt idx="46">
                  <c:v>56.394331249300002</c:v>
                </c:pt>
                <c:pt idx="47">
                  <c:v>55.879010037699999</c:v>
                </c:pt>
                <c:pt idx="48">
                  <c:v>55.653747168300001</c:v>
                </c:pt>
                <c:pt idx="49">
                  <c:v>55.640580068399998</c:v>
                </c:pt>
                <c:pt idx="50">
                  <c:v>55.8886436381</c:v>
                </c:pt>
                <c:pt idx="51">
                  <c:v>56.395163339500002</c:v>
                </c:pt>
                <c:pt idx="52">
                  <c:v>59.338234512600003</c:v>
                </c:pt>
                <c:pt idx="53">
                  <c:v>59.297534888400001</c:v>
                </c:pt>
                <c:pt idx="54">
                  <c:v>56.470709110000001</c:v>
                </c:pt>
                <c:pt idx="55">
                  <c:v>55.485766170399998</c:v>
                </c:pt>
                <c:pt idx="56">
                  <c:v>55.161584343199998</c:v>
                </c:pt>
                <c:pt idx="57">
                  <c:v>55.056656712600002</c:v>
                </c:pt>
                <c:pt idx="58">
                  <c:v>55.184053349899997</c:v>
                </c:pt>
                <c:pt idx="59">
                  <c:v>55.570584733499999</c:v>
                </c:pt>
                <c:pt idx="60">
                  <c:v>56.927191984399997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E5-4FCC-B87B-869108D84DB6}"/>
            </c:ext>
          </c:extLst>
        </c:ser>
        <c:ser>
          <c:idx val="2"/>
          <c:order val="2"/>
          <c:tx>
            <c:strRef>
              <c:f>'BAV-OP'!$P$1</c:f>
              <c:strCache>
                <c:ptCount val="1"/>
                <c:pt idx="0">
                  <c:v>OP-W CPI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'BAV-OP'!$P$2:$P$62</c:f>
              <c:numCache>
                <c:formatCode>#,##0.00\ "%"</c:formatCode>
                <c:ptCount val="61"/>
                <c:pt idx="0">
                  <c:v>64.809930838100001</c:v>
                </c:pt>
                <c:pt idx="1">
                  <c:v>66.937471220700004</c:v>
                </c:pt>
                <c:pt idx="2">
                  <c:v>65.413137864199996</c:v>
                </c:pt>
                <c:pt idx="3">
                  <c:v>61.137776260499997</c:v>
                </c:pt>
                <c:pt idx="4">
                  <c:v>61.116187676199999</c:v>
                </c:pt>
                <c:pt idx="5">
                  <c:v>61.752652296699999</c:v>
                </c:pt>
                <c:pt idx="6">
                  <c:v>62.8807513458</c:v>
                </c:pt>
                <c:pt idx="7">
                  <c:v>63.5160542681</c:v>
                </c:pt>
                <c:pt idx="8">
                  <c:v>62.0197316187</c:v>
                </c:pt>
                <c:pt idx="9">
                  <c:v>61.581362084699997</c:v>
                </c:pt>
                <c:pt idx="10">
                  <c:v>61.617145390700003</c:v>
                </c:pt>
                <c:pt idx="11">
                  <c:v>61.715644223399998</c:v>
                </c:pt>
                <c:pt idx="12">
                  <c:v>61.767696116300002</c:v>
                </c:pt>
                <c:pt idx="13">
                  <c:v>61.765736026600003</c:v>
                </c:pt>
                <c:pt idx="14">
                  <c:v>61.7288306345</c:v>
                </c:pt>
                <c:pt idx="15">
                  <c:v>61.676083806900003</c:v>
                </c:pt>
                <c:pt idx="16">
                  <c:v>61.619799454099997</c:v>
                </c:pt>
                <c:pt idx="17">
                  <c:v>61.565955345100001</c:v>
                </c:pt>
                <c:pt idx="18">
                  <c:v>61.516456298900003</c:v>
                </c:pt>
                <c:pt idx="19">
                  <c:v>61.471098463200001</c:v>
                </c:pt>
                <c:pt idx="20">
                  <c:v>61.4288127481</c:v>
                </c:pt>
                <c:pt idx="21">
                  <c:v>61.388337329499997</c:v>
                </c:pt>
                <c:pt idx="22">
                  <c:v>61.348547436099999</c:v>
                </c:pt>
                <c:pt idx="23">
                  <c:v>61.308595985799997</c:v>
                </c:pt>
                <c:pt idx="24">
                  <c:v>61.267946897000002</c:v>
                </c:pt>
                <c:pt idx="25">
                  <c:v>61.226345835799997</c:v>
                </c:pt>
                <c:pt idx="26">
                  <c:v>61.183757291500001</c:v>
                </c:pt>
                <c:pt idx="27">
                  <c:v>61.140288057100001</c:v>
                </c:pt>
                <c:pt idx="28">
                  <c:v>61.096111074500001</c:v>
                </c:pt>
                <c:pt idx="29">
                  <c:v>61.051400045699999</c:v>
                </c:pt>
                <c:pt idx="30">
                  <c:v>61.006283035999999</c:v>
                </c:pt>
                <c:pt idx="31">
                  <c:v>60.960820109399997</c:v>
                </c:pt>
                <c:pt idx="32">
                  <c:v>60.915004836400001</c:v>
                </c:pt>
                <c:pt idx="33">
                  <c:v>60.868783736200001</c:v>
                </c:pt>
                <c:pt idx="34">
                  <c:v>60.8220839281</c:v>
                </c:pt>
                <c:pt idx="35">
                  <c:v>60.774839040099998</c:v>
                </c:pt>
                <c:pt idx="36">
                  <c:v>60.727006384699997</c:v>
                </c:pt>
                <c:pt idx="37">
                  <c:v>60.678572828</c:v>
                </c:pt>
                <c:pt idx="38">
                  <c:v>60.629550761300003</c:v>
                </c:pt>
                <c:pt idx="39">
                  <c:v>60.579967995099999</c:v>
                </c:pt>
                <c:pt idx="40">
                  <c:v>60.529856007399999</c:v>
                </c:pt>
                <c:pt idx="41">
                  <c:v>60.479240193899997</c:v>
                </c:pt>
                <c:pt idx="42">
                  <c:v>60.428134248399999</c:v>
                </c:pt>
                <c:pt idx="43">
                  <c:v>60.376539135800002</c:v>
                </c:pt>
                <c:pt idx="44">
                  <c:v>60.324445779999998</c:v>
                </c:pt>
                <c:pt idx="45">
                  <c:v>60.2718398138</c:v>
                </c:pt>
                <c:pt idx="46">
                  <c:v>60.218706596399997</c:v>
                </c:pt>
                <c:pt idx="47">
                  <c:v>60.165035069799998</c:v>
                </c:pt>
                <c:pt idx="48">
                  <c:v>60.110819692699998</c:v>
                </c:pt>
                <c:pt idx="49">
                  <c:v>60.056060391199999</c:v>
                </c:pt>
                <c:pt idx="50">
                  <c:v>60.0007610145</c:v>
                </c:pt>
                <c:pt idx="51">
                  <c:v>59.9449270605</c:v>
                </c:pt>
                <c:pt idx="52">
                  <c:v>59.888563442299997</c:v>
                </c:pt>
                <c:pt idx="53">
                  <c:v>59.831672869499997</c:v>
                </c:pt>
                <c:pt idx="54">
                  <c:v>59.774255116200003</c:v>
                </c:pt>
                <c:pt idx="55">
                  <c:v>59.716307155999999</c:v>
                </c:pt>
                <c:pt idx="56">
                  <c:v>59.657823923300001</c:v>
                </c:pt>
                <c:pt idx="57">
                  <c:v>59.598799361200001</c:v>
                </c:pt>
                <c:pt idx="58">
                  <c:v>59.539227422899998</c:v>
                </c:pt>
                <c:pt idx="59">
                  <c:v>59.479102787099997</c:v>
                </c:pt>
                <c:pt idx="60">
                  <c:v>59.418421178599999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E5-4FCC-B87B-869108D84DB6}"/>
            </c:ext>
          </c:extLst>
        </c:ser>
        <c:ser>
          <c:idx val="3"/>
          <c:order val="3"/>
          <c:tx>
            <c:strRef>
              <c:f>'BAV-OP'!$Q$1</c:f>
              <c:strCache>
                <c:ptCount val="1"/>
                <c:pt idx="0">
                  <c:v>OP-PW CPI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'BAV-OP'!$A$2:$A$62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'BAV-OP'!$Q$2:$Q$62</c:f>
              <c:numCache>
                <c:formatCode>#,##0.00\ "%"</c:formatCode>
                <c:ptCount val="61"/>
                <c:pt idx="0">
                  <c:v>61.198593874799997</c:v>
                </c:pt>
                <c:pt idx="1">
                  <c:v>62.4764656583</c:v>
                </c:pt>
                <c:pt idx="2">
                  <c:v>74.658106899700002</c:v>
                </c:pt>
                <c:pt idx="3">
                  <c:v>64.487913658400004</c:v>
                </c:pt>
                <c:pt idx="4">
                  <c:v>60.477948165500003</c:v>
                </c:pt>
                <c:pt idx="5">
                  <c:v>60.3950673975</c:v>
                </c:pt>
                <c:pt idx="6">
                  <c:v>60.696364088000003</c:v>
                </c:pt>
                <c:pt idx="7">
                  <c:v>60.981019959100003</c:v>
                </c:pt>
                <c:pt idx="8">
                  <c:v>61.323486680000002</c:v>
                </c:pt>
                <c:pt idx="9">
                  <c:v>63.5401522943</c:v>
                </c:pt>
                <c:pt idx="10">
                  <c:v>64.132837998599996</c:v>
                </c:pt>
                <c:pt idx="11">
                  <c:v>61.742448203599999</c:v>
                </c:pt>
                <c:pt idx="12">
                  <c:v>60.980074164900003</c:v>
                </c:pt>
                <c:pt idx="13">
                  <c:v>60.763726481699997</c:v>
                </c:pt>
                <c:pt idx="14">
                  <c:v>60.695011997199998</c:v>
                </c:pt>
                <c:pt idx="15">
                  <c:v>60.641936212399997</c:v>
                </c:pt>
                <c:pt idx="16">
                  <c:v>60.701321418100001</c:v>
                </c:pt>
                <c:pt idx="17">
                  <c:v>60.951841965500002</c:v>
                </c:pt>
                <c:pt idx="18">
                  <c:v>62.617299089699998</c:v>
                </c:pt>
                <c:pt idx="19">
                  <c:v>62.492301937699999</c:v>
                </c:pt>
                <c:pt idx="20">
                  <c:v>61.187124397799998</c:v>
                </c:pt>
                <c:pt idx="21">
                  <c:v>60.682830076499997</c:v>
                </c:pt>
                <c:pt idx="22">
                  <c:v>60.482702168899998</c:v>
                </c:pt>
                <c:pt idx="23">
                  <c:v>60.378055815099998</c:v>
                </c:pt>
                <c:pt idx="24">
                  <c:v>60.304998204900002</c:v>
                </c:pt>
                <c:pt idx="25">
                  <c:v>60.334137832800003</c:v>
                </c:pt>
                <c:pt idx="26">
                  <c:v>60.494693495200003</c:v>
                </c:pt>
                <c:pt idx="27">
                  <c:v>61.479828081500003</c:v>
                </c:pt>
                <c:pt idx="28">
                  <c:v>62.1334373973</c:v>
                </c:pt>
                <c:pt idx="29">
                  <c:v>61.059250494399997</c:v>
                </c:pt>
                <c:pt idx="30">
                  <c:v>60.448240709099998</c:v>
                </c:pt>
                <c:pt idx="31">
                  <c:v>60.129401260999998</c:v>
                </c:pt>
                <c:pt idx="32">
                  <c:v>59.994363480899999</c:v>
                </c:pt>
                <c:pt idx="33">
                  <c:v>59.890466944000003</c:v>
                </c:pt>
                <c:pt idx="34">
                  <c:v>59.849877813100001</c:v>
                </c:pt>
                <c:pt idx="35">
                  <c:v>59.927670306099998</c:v>
                </c:pt>
                <c:pt idx="36">
                  <c:v>60.131026020299998</c:v>
                </c:pt>
                <c:pt idx="37">
                  <c:v>61.389575506100002</c:v>
                </c:pt>
                <c:pt idx="38">
                  <c:v>61.334494467299997</c:v>
                </c:pt>
                <c:pt idx="39">
                  <c:v>60.291385419699999</c:v>
                </c:pt>
                <c:pt idx="40">
                  <c:v>59.777697146800001</c:v>
                </c:pt>
                <c:pt idx="41">
                  <c:v>59.5319913931</c:v>
                </c:pt>
                <c:pt idx="42">
                  <c:v>59.434408660400003</c:v>
                </c:pt>
                <c:pt idx="43">
                  <c:v>59.355360235799999</c:v>
                </c:pt>
                <c:pt idx="44">
                  <c:v>59.355583252999999</c:v>
                </c:pt>
                <c:pt idx="45">
                  <c:v>59.476248801200001</c:v>
                </c:pt>
                <c:pt idx="46">
                  <c:v>59.865564238899999</c:v>
                </c:pt>
                <c:pt idx="47">
                  <c:v>61.075508636899997</c:v>
                </c:pt>
                <c:pt idx="48">
                  <c:v>60.418041255399999</c:v>
                </c:pt>
                <c:pt idx="49">
                  <c:v>59.519582963399998</c:v>
                </c:pt>
                <c:pt idx="50">
                  <c:v>59.0733784982</c:v>
                </c:pt>
                <c:pt idx="51">
                  <c:v>58.889999770300001</c:v>
                </c:pt>
                <c:pt idx="52">
                  <c:v>58.8234037012</c:v>
                </c:pt>
                <c:pt idx="53">
                  <c:v>58.7755574579</c:v>
                </c:pt>
                <c:pt idx="54">
                  <c:v>58.817725466500001</c:v>
                </c:pt>
                <c:pt idx="55">
                  <c:v>58.977108969600003</c:v>
                </c:pt>
                <c:pt idx="56">
                  <c:v>59.626524671600002</c:v>
                </c:pt>
                <c:pt idx="57">
                  <c:v>60.580197963000003</c:v>
                </c:pt>
                <c:pt idx="58">
                  <c:v>59.486654732600002</c:v>
                </c:pt>
                <c:pt idx="59">
                  <c:v>58.699620989000003</c:v>
                </c:pt>
                <c:pt idx="60">
                  <c:v>58.3209747728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E5-4FCC-B87B-869108D8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60112"/>
        <c:axId val="1981760528"/>
      </c:scatterChart>
      <c:valAx>
        <c:axId val="198176011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1760528"/>
        <c:crosses val="autoZero"/>
        <c:crossBetween val="midCat"/>
      </c:valAx>
      <c:valAx>
        <c:axId val="198176052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176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'BAV-PE'!$B$1</c:f>
              <c:strCache>
                <c:ptCount val="1"/>
                <c:pt idx="0">
                  <c:v>BAU EnviI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'BAV-PE'!$B$2:$B$62</c:f>
              <c:numCache>
                <c:formatCode>#,##0.00\ "%"</c:formatCode>
                <c:ptCount val="61"/>
                <c:pt idx="0">
                  <c:v>74.494774371899993</c:v>
                </c:pt>
                <c:pt idx="1">
                  <c:v>71.1300234964</c:v>
                </c:pt>
                <c:pt idx="2">
                  <c:v>65.901706906200005</c:v>
                </c:pt>
                <c:pt idx="3">
                  <c:v>56.445038898</c:v>
                </c:pt>
                <c:pt idx="4">
                  <c:v>59.386145601599999</c:v>
                </c:pt>
                <c:pt idx="5">
                  <c:v>61.910833179599997</c:v>
                </c:pt>
                <c:pt idx="6">
                  <c:v>63.27808967</c:v>
                </c:pt>
                <c:pt idx="7">
                  <c:v>64.594435232400002</c:v>
                </c:pt>
                <c:pt idx="8">
                  <c:v>65.084609649699999</c:v>
                </c:pt>
                <c:pt idx="9">
                  <c:v>61.6602332967</c:v>
                </c:pt>
                <c:pt idx="10">
                  <c:v>61.243471204099997</c:v>
                </c:pt>
                <c:pt idx="11">
                  <c:v>61.573751769600001</c:v>
                </c:pt>
                <c:pt idx="12">
                  <c:v>61.947284865299999</c:v>
                </c:pt>
                <c:pt idx="13">
                  <c:v>62.1446963486</c:v>
                </c:pt>
                <c:pt idx="14">
                  <c:v>62.152043654499998</c:v>
                </c:pt>
                <c:pt idx="15">
                  <c:v>62.031386534399999</c:v>
                </c:pt>
                <c:pt idx="16">
                  <c:v>61.855801117600002</c:v>
                </c:pt>
                <c:pt idx="17">
                  <c:v>61.680861383699998</c:v>
                </c:pt>
                <c:pt idx="18">
                  <c:v>61.537368939099998</c:v>
                </c:pt>
                <c:pt idx="19">
                  <c:v>61.4347600997</c:v>
                </c:pt>
                <c:pt idx="20">
                  <c:v>61.368303291399997</c:v>
                </c:pt>
                <c:pt idx="21">
                  <c:v>61.326299558700001</c:v>
                </c:pt>
                <c:pt idx="22">
                  <c:v>61.295652200500001</c:v>
                </c:pt>
                <c:pt idx="23">
                  <c:v>61.2653936492</c:v>
                </c:pt>
                <c:pt idx="24">
                  <c:v>61.228342310999999</c:v>
                </c:pt>
                <c:pt idx="25">
                  <c:v>61.181310539099997</c:v>
                </c:pt>
                <c:pt idx="26">
                  <c:v>61.124371275000001</c:v>
                </c:pt>
                <c:pt idx="27">
                  <c:v>61.0596789493</c:v>
                </c:pt>
                <c:pt idx="28">
                  <c:v>60.990253365400001</c:v>
                </c:pt>
                <c:pt idx="29">
                  <c:v>60.9190008717</c:v>
                </c:pt>
                <c:pt idx="30">
                  <c:v>60.848101759400002</c:v>
                </c:pt>
                <c:pt idx="31">
                  <c:v>60.778769627099997</c:v>
                </c:pt>
                <c:pt idx="32">
                  <c:v>60.7113065765</c:v>
                </c:pt>
                <c:pt idx="33">
                  <c:v>60.645340913699997</c:v>
                </c:pt>
                <c:pt idx="34">
                  <c:v>60.580133720200003</c:v>
                </c:pt>
                <c:pt idx="35">
                  <c:v>60.514864378799999</c:v>
                </c:pt>
                <c:pt idx="36">
                  <c:v>60.448839773800003</c:v>
                </c:pt>
                <c:pt idx="37">
                  <c:v>60.381606699099997</c:v>
                </c:pt>
                <c:pt idx="38">
                  <c:v>60.312974754899997</c:v>
                </c:pt>
                <c:pt idx="39">
                  <c:v>60.242974147699996</c:v>
                </c:pt>
                <c:pt idx="40">
                  <c:v>60.171779059099997</c:v>
                </c:pt>
                <c:pt idx="41">
                  <c:v>60.0996247418</c:v>
                </c:pt>
                <c:pt idx="42">
                  <c:v>60.026738614999999</c:v>
                </c:pt>
                <c:pt idx="43">
                  <c:v>59.953295862799997</c:v>
                </c:pt>
                <c:pt idx="44">
                  <c:v>59.8794011747</c:v>
                </c:pt>
                <c:pt idx="45">
                  <c:v>59.805091967700001</c:v>
                </c:pt>
                <c:pt idx="46">
                  <c:v>59.730355250899997</c:v>
                </c:pt>
                <c:pt idx="47">
                  <c:v>59.655149887699999</c:v>
                </c:pt>
                <c:pt idx="48">
                  <c:v>59.579427558500001</c:v>
                </c:pt>
                <c:pt idx="49">
                  <c:v>59.503148231700003</c:v>
                </c:pt>
                <c:pt idx="50">
                  <c:v>59.426288549200002</c:v>
                </c:pt>
                <c:pt idx="51">
                  <c:v>59.348843623199997</c:v>
                </c:pt>
                <c:pt idx="52">
                  <c:v>59.270824028600003</c:v>
                </c:pt>
                <c:pt idx="53">
                  <c:v>59.192250246299999</c:v>
                </c:pt>
                <c:pt idx="54">
                  <c:v>59.113146627699997</c:v>
                </c:pt>
                <c:pt idx="55">
                  <c:v>59.033536373399997</c:v>
                </c:pt>
                <c:pt idx="56">
                  <c:v>58.953438301799999</c:v>
                </c:pt>
                <c:pt idx="57">
                  <c:v>58.872865532299997</c:v>
                </c:pt>
                <c:pt idx="58">
                  <c:v>58.791825745799997</c:v>
                </c:pt>
                <c:pt idx="59">
                  <c:v>58.710322448299998</c:v>
                </c:pt>
                <c:pt idx="60">
                  <c:v>58.628356634100001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E6-46C8-9B6E-85FF6AB8D9D5}"/>
            </c:ext>
          </c:extLst>
        </c:ser>
        <c:ser>
          <c:idx val="1"/>
          <c:order val="1"/>
          <c:tx>
            <c:strRef>
              <c:f>'BAV-PE'!$C$1</c:f>
              <c:strCache>
                <c:ptCount val="1"/>
                <c:pt idx="0">
                  <c:v>PE-P EnviI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'BAV-PE'!$C$2:$C$62</c:f>
              <c:numCache>
                <c:formatCode>#,##0.00\ "%"</c:formatCode>
                <c:ptCount val="61"/>
                <c:pt idx="0">
                  <c:v>73.821157280600005</c:v>
                </c:pt>
                <c:pt idx="1">
                  <c:v>66.951360384699996</c:v>
                </c:pt>
                <c:pt idx="2">
                  <c:v>92.989253930900006</c:v>
                </c:pt>
                <c:pt idx="3">
                  <c:v>66.310306407499993</c:v>
                </c:pt>
                <c:pt idx="4">
                  <c:v>56.906742666900001</c:v>
                </c:pt>
                <c:pt idx="5">
                  <c:v>58.523042965199998</c:v>
                </c:pt>
                <c:pt idx="6">
                  <c:v>60.537134313400003</c:v>
                </c:pt>
                <c:pt idx="7">
                  <c:v>62.436370081500002</c:v>
                </c:pt>
                <c:pt idx="8">
                  <c:v>64.083626246600005</c:v>
                </c:pt>
                <c:pt idx="9">
                  <c:v>72.570612862299996</c:v>
                </c:pt>
                <c:pt idx="10">
                  <c:v>71.478343142300005</c:v>
                </c:pt>
                <c:pt idx="11">
                  <c:v>61.633235638000002</c:v>
                </c:pt>
                <c:pt idx="12">
                  <c:v>60.554128330499999</c:v>
                </c:pt>
                <c:pt idx="13">
                  <c:v>60.977635471100001</c:v>
                </c:pt>
                <c:pt idx="14">
                  <c:v>61.885179510900002</c:v>
                </c:pt>
                <c:pt idx="15">
                  <c:v>63.072691788699998</c:v>
                </c:pt>
                <c:pt idx="16">
                  <c:v>66.348694335499999</c:v>
                </c:pt>
                <c:pt idx="17">
                  <c:v>74.597852538799998</c:v>
                </c:pt>
                <c:pt idx="18">
                  <c:v>66.875411037299997</c:v>
                </c:pt>
                <c:pt idx="19">
                  <c:v>61.506454143100001</c:v>
                </c:pt>
                <c:pt idx="20">
                  <c:v>61.144641435600001</c:v>
                </c:pt>
                <c:pt idx="21">
                  <c:v>61.7150198637</c:v>
                </c:pt>
                <c:pt idx="22">
                  <c:v>62.733231936400003</c:v>
                </c:pt>
                <c:pt idx="23">
                  <c:v>63.963720399400003</c:v>
                </c:pt>
                <c:pt idx="24">
                  <c:v>70.382838559800007</c:v>
                </c:pt>
                <c:pt idx="25">
                  <c:v>73.836689086000007</c:v>
                </c:pt>
                <c:pt idx="26">
                  <c:v>63.4678818318</c:v>
                </c:pt>
                <c:pt idx="27">
                  <c:v>61.829929287200002</c:v>
                </c:pt>
                <c:pt idx="28">
                  <c:v>61.928196739800001</c:v>
                </c:pt>
                <c:pt idx="29">
                  <c:v>62.636829629899999</c:v>
                </c:pt>
                <c:pt idx="30">
                  <c:v>63.686770343900001</c:v>
                </c:pt>
                <c:pt idx="31">
                  <c:v>66.3107360172</c:v>
                </c:pt>
                <c:pt idx="32">
                  <c:v>74.454563437000004</c:v>
                </c:pt>
                <c:pt idx="33">
                  <c:v>69.159484376500004</c:v>
                </c:pt>
                <c:pt idx="34">
                  <c:v>63.004647619300002</c:v>
                </c:pt>
                <c:pt idx="35">
                  <c:v>62.380449929800001</c:v>
                </c:pt>
                <c:pt idx="36">
                  <c:v>62.719620093800003</c:v>
                </c:pt>
                <c:pt idx="37">
                  <c:v>63.535892587500001</c:v>
                </c:pt>
                <c:pt idx="38">
                  <c:v>64.614939680700004</c:v>
                </c:pt>
                <c:pt idx="39">
                  <c:v>70.121337631100005</c:v>
                </c:pt>
                <c:pt idx="40">
                  <c:v>75.348693018899993</c:v>
                </c:pt>
                <c:pt idx="41">
                  <c:v>65.081314733100001</c:v>
                </c:pt>
                <c:pt idx="42">
                  <c:v>63.123705211500003</c:v>
                </c:pt>
                <c:pt idx="43">
                  <c:v>63.010800081600003</c:v>
                </c:pt>
                <c:pt idx="44">
                  <c:v>63.527666422400003</c:v>
                </c:pt>
                <c:pt idx="45">
                  <c:v>64.418829707499995</c:v>
                </c:pt>
                <c:pt idx="46">
                  <c:v>66.4166009785</c:v>
                </c:pt>
                <c:pt idx="47">
                  <c:v>74.538765697800002</c:v>
                </c:pt>
                <c:pt idx="48">
                  <c:v>71.437202900900004</c:v>
                </c:pt>
                <c:pt idx="49">
                  <c:v>64.393268652100005</c:v>
                </c:pt>
                <c:pt idx="50">
                  <c:v>63.537966181500003</c:v>
                </c:pt>
                <c:pt idx="51">
                  <c:v>63.687388067400001</c:v>
                </c:pt>
                <c:pt idx="52">
                  <c:v>64.332723692800002</c:v>
                </c:pt>
                <c:pt idx="53">
                  <c:v>65.277089211900005</c:v>
                </c:pt>
                <c:pt idx="54">
                  <c:v>70.045998683700006</c:v>
                </c:pt>
                <c:pt idx="55">
                  <c:v>76.4886666994</c:v>
                </c:pt>
                <c:pt idx="56">
                  <c:v>66.546566391200002</c:v>
                </c:pt>
                <c:pt idx="57">
                  <c:v>64.340847404599998</c:v>
                </c:pt>
                <c:pt idx="58">
                  <c:v>64.043851277300007</c:v>
                </c:pt>
                <c:pt idx="59">
                  <c:v>64.385652813299998</c:v>
                </c:pt>
                <c:pt idx="60">
                  <c:v>65.126032450300002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E6-46C8-9B6E-85FF6AB8D9D5}"/>
            </c:ext>
          </c:extLst>
        </c:ser>
        <c:ser>
          <c:idx val="2"/>
          <c:order val="2"/>
          <c:tx>
            <c:strRef>
              <c:f>'BAV-PE'!$D$1</c:f>
              <c:strCache>
                <c:ptCount val="1"/>
                <c:pt idx="0">
                  <c:v>PE-W EnviI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'BAV-PE'!$D$2:$D$62</c:f>
              <c:numCache>
                <c:formatCode>#,##0.00\ "%"</c:formatCode>
                <c:ptCount val="61"/>
                <c:pt idx="0">
                  <c:v>74.844424715399995</c:v>
                </c:pt>
                <c:pt idx="1">
                  <c:v>71.495817843300003</c:v>
                </c:pt>
                <c:pt idx="2">
                  <c:v>65.476692963600001</c:v>
                </c:pt>
                <c:pt idx="3">
                  <c:v>57.184835995</c:v>
                </c:pt>
                <c:pt idx="4">
                  <c:v>60.750559850099997</c:v>
                </c:pt>
                <c:pt idx="5">
                  <c:v>63.747649357500002</c:v>
                </c:pt>
                <c:pt idx="6">
                  <c:v>67.000676274499995</c:v>
                </c:pt>
                <c:pt idx="7">
                  <c:v>66.639302384600001</c:v>
                </c:pt>
                <c:pt idx="8">
                  <c:v>62.864137737699998</c:v>
                </c:pt>
                <c:pt idx="9">
                  <c:v>63.038614880899999</c:v>
                </c:pt>
                <c:pt idx="10">
                  <c:v>63.794223967500002</c:v>
                </c:pt>
                <c:pt idx="11">
                  <c:v>64.338989659399999</c:v>
                </c:pt>
                <c:pt idx="12">
                  <c:v>64.549198674699994</c:v>
                </c:pt>
                <c:pt idx="13">
                  <c:v>64.886829312900005</c:v>
                </c:pt>
                <c:pt idx="14">
                  <c:v>64.411224169999997</c:v>
                </c:pt>
                <c:pt idx="15">
                  <c:v>64.144713147100006</c:v>
                </c:pt>
                <c:pt idx="16">
                  <c:v>64.227328565999997</c:v>
                </c:pt>
                <c:pt idx="17">
                  <c:v>64.363876400799995</c:v>
                </c:pt>
                <c:pt idx="18">
                  <c:v>64.484428313099997</c:v>
                </c:pt>
                <c:pt idx="19">
                  <c:v>64.572939559899993</c:v>
                </c:pt>
                <c:pt idx="20">
                  <c:v>64.634429384800001</c:v>
                </c:pt>
                <c:pt idx="21">
                  <c:v>64.679609400299995</c:v>
                </c:pt>
                <c:pt idx="22">
                  <c:v>64.718271709999996</c:v>
                </c:pt>
                <c:pt idx="23">
                  <c:v>64.757162552400004</c:v>
                </c:pt>
                <c:pt idx="24">
                  <c:v>64.799927687500002</c:v>
                </c:pt>
                <c:pt idx="25">
                  <c:v>64.847812310999998</c:v>
                </c:pt>
                <c:pt idx="26">
                  <c:v>64.900489127599997</c:v>
                </c:pt>
                <c:pt idx="27">
                  <c:v>64.956777668000001</c:v>
                </c:pt>
                <c:pt idx="28">
                  <c:v>65.0151974913</c:v>
                </c:pt>
                <c:pt idx="29">
                  <c:v>65.074357937200006</c:v>
                </c:pt>
                <c:pt idx="30">
                  <c:v>65.133197551799995</c:v>
                </c:pt>
                <c:pt idx="31">
                  <c:v>65.191087805500004</c:v>
                </c:pt>
                <c:pt idx="32">
                  <c:v>65.247822691799996</c:v>
                </c:pt>
                <c:pt idx="33">
                  <c:v>65.303526499599997</c:v>
                </c:pt>
                <c:pt idx="34">
                  <c:v>65.358519491400003</c:v>
                </c:pt>
                <c:pt idx="35">
                  <c:v>65.413180579799999</c:v>
                </c:pt>
                <c:pt idx="36">
                  <c:v>65.467837235399998</c:v>
                </c:pt>
                <c:pt idx="37">
                  <c:v>65.522699188199994</c:v>
                </c:pt>
                <c:pt idx="38">
                  <c:v>65.577838408100007</c:v>
                </c:pt>
                <c:pt idx="39">
                  <c:v>65.633206881299998</c:v>
                </c:pt>
                <c:pt idx="40">
                  <c:v>65.688677556800002</c:v>
                </c:pt>
                <c:pt idx="41">
                  <c:v>65.744092627100002</c:v>
                </c:pt>
                <c:pt idx="42">
                  <c:v>65.799305974000006</c:v>
                </c:pt>
                <c:pt idx="43">
                  <c:v>65.854211543800005</c:v>
                </c:pt>
                <c:pt idx="44">
                  <c:v>65.908754915399996</c:v>
                </c:pt>
                <c:pt idx="45">
                  <c:v>65.962929974999994</c:v>
                </c:pt>
                <c:pt idx="46">
                  <c:v>66.016765561300005</c:v>
                </c:pt>
                <c:pt idx="47">
                  <c:v>66.070307943100005</c:v>
                </c:pt>
                <c:pt idx="48">
                  <c:v>66.123604339799996</c:v>
                </c:pt>
                <c:pt idx="49">
                  <c:v>66.176690999599998</c:v>
                </c:pt>
                <c:pt idx="50">
                  <c:v>66.229587308299998</c:v>
                </c:pt>
                <c:pt idx="51">
                  <c:v>66.282295588799997</c:v>
                </c:pt>
                <c:pt idx="52">
                  <c:v>66.334805030200002</c:v>
                </c:pt>
                <c:pt idx="53">
                  <c:v>66.387097664300001</c:v>
                </c:pt>
                <c:pt idx="54">
                  <c:v>66.439154417400005</c:v>
                </c:pt>
                <c:pt idx="55">
                  <c:v>66.490959801200006</c:v>
                </c:pt>
                <c:pt idx="56">
                  <c:v>66.542504523000005</c:v>
                </c:pt>
                <c:pt idx="57">
                  <c:v>66.593785983299995</c:v>
                </c:pt>
                <c:pt idx="58">
                  <c:v>66.644807125699998</c:v>
                </c:pt>
                <c:pt idx="59">
                  <c:v>66.695574363199995</c:v>
                </c:pt>
                <c:pt idx="60">
                  <c:v>66.746095312400001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E6-46C8-9B6E-85FF6AB8D9D5}"/>
            </c:ext>
          </c:extLst>
        </c:ser>
        <c:ser>
          <c:idx val="3"/>
          <c:order val="3"/>
          <c:tx>
            <c:strRef>
              <c:f>'BAV-PE'!$E$1</c:f>
              <c:strCache>
                <c:ptCount val="1"/>
                <c:pt idx="0">
                  <c:v>PE-PW EnviI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'BAV-PE'!$E$2:$E$62</c:f>
              <c:numCache>
                <c:formatCode>#,##0.00\ "%"</c:formatCode>
                <c:ptCount val="61"/>
                <c:pt idx="0">
                  <c:v>73.938464832600005</c:v>
                </c:pt>
                <c:pt idx="1">
                  <c:v>66.815910499500006</c:v>
                </c:pt>
                <c:pt idx="2">
                  <c:v>94.076258383699994</c:v>
                </c:pt>
                <c:pt idx="3">
                  <c:v>64.793264406299997</c:v>
                </c:pt>
                <c:pt idx="4">
                  <c:v>57.069275835600003</c:v>
                </c:pt>
                <c:pt idx="5">
                  <c:v>59.1309479831</c:v>
                </c:pt>
                <c:pt idx="6">
                  <c:v>61.2792604264</c:v>
                </c:pt>
                <c:pt idx="7">
                  <c:v>63.020292316899997</c:v>
                </c:pt>
                <c:pt idx="8">
                  <c:v>65.514063607500006</c:v>
                </c:pt>
                <c:pt idx="9">
                  <c:v>72.203224149199997</c:v>
                </c:pt>
                <c:pt idx="10">
                  <c:v>66.442034523199993</c:v>
                </c:pt>
                <c:pt idx="11">
                  <c:v>61.6432900653</c:v>
                </c:pt>
                <c:pt idx="12">
                  <c:v>61.408297748400003</c:v>
                </c:pt>
                <c:pt idx="13">
                  <c:v>61.987126305399997</c:v>
                </c:pt>
                <c:pt idx="14">
                  <c:v>62.6821987991</c:v>
                </c:pt>
                <c:pt idx="15">
                  <c:v>63.4886273786</c:v>
                </c:pt>
                <c:pt idx="16">
                  <c:v>66.693483956999998</c:v>
                </c:pt>
                <c:pt idx="17">
                  <c:v>70.498105343899994</c:v>
                </c:pt>
                <c:pt idx="18">
                  <c:v>64.102869607000002</c:v>
                </c:pt>
                <c:pt idx="19">
                  <c:v>62.1948549245</c:v>
                </c:pt>
                <c:pt idx="20">
                  <c:v>62.204399633900003</c:v>
                </c:pt>
                <c:pt idx="21">
                  <c:v>62.6554615513</c:v>
                </c:pt>
                <c:pt idx="22">
                  <c:v>63.316786045599997</c:v>
                </c:pt>
                <c:pt idx="23">
                  <c:v>64.108601847499997</c:v>
                </c:pt>
                <c:pt idx="24">
                  <c:v>68.528152449499999</c:v>
                </c:pt>
                <c:pt idx="25">
                  <c:v>69.149323438300001</c:v>
                </c:pt>
                <c:pt idx="26">
                  <c:v>63.7350561278</c:v>
                </c:pt>
                <c:pt idx="27">
                  <c:v>62.8355569434</c:v>
                </c:pt>
                <c:pt idx="28">
                  <c:v>62.954765064900002</c:v>
                </c:pt>
                <c:pt idx="29">
                  <c:v>63.374524252999997</c:v>
                </c:pt>
                <c:pt idx="30">
                  <c:v>63.994879739399998</c:v>
                </c:pt>
                <c:pt idx="31">
                  <c:v>65.333851189699999</c:v>
                </c:pt>
                <c:pt idx="32">
                  <c:v>69.801492324199998</c:v>
                </c:pt>
                <c:pt idx="33">
                  <c:v>67.906665731299995</c:v>
                </c:pt>
                <c:pt idx="34">
                  <c:v>63.953380554100001</c:v>
                </c:pt>
                <c:pt idx="35">
                  <c:v>63.448163716700002</c:v>
                </c:pt>
                <c:pt idx="36">
                  <c:v>63.600651728099997</c:v>
                </c:pt>
                <c:pt idx="37">
                  <c:v>64.024065133999997</c:v>
                </c:pt>
                <c:pt idx="38">
                  <c:v>64.639289382599998</c:v>
                </c:pt>
                <c:pt idx="39">
                  <c:v>66.9731917525</c:v>
                </c:pt>
                <c:pt idx="40">
                  <c:v>70.676665749400001</c:v>
                </c:pt>
                <c:pt idx="41">
                  <c:v>66.587562554300007</c:v>
                </c:pt>
                <c:pt idx="42">
                  <c:v>64.294649555700005</c:v>
                </c:pt>
                <c:pt idx="43">
                  <c:v>64.024874570999998</c:v>
                </c:pt>
                <c:pt idx="44">
                  <c:v>64.209226401400002</c:v>
                </c:pt>
                <c:pt idx="45">
                  <c:v>64.641764909299994</c:v>
                </c:pt>
                <c:pt idx="46">
                  <c:v>65.258263865499998</c:v>
                </c:pt>
                <c:pt idx="47">
                  <c:v>68.605869839099995</c:v>
                </c:pt>
                <c:pt idx="48">
                  <c:v>70.965629663599998</c:v>
                </c:pt>
                <c:pt idx="49">
                  <c:v>65.948717219200006</c:v>
                </c:pt>
                <c:pt idx="50">
                  <c:v>64.698025781599995</c:v>
                </c:pt>
                <c:pt idx="51">
                  <c:v>64.571202752800005</c:v>
                </c:pt>
                <c:pt idx="52">
                  <c:v>64.784757347699994</c:v>
                </c:pt>
                <c:pt idx="53">
                  <c:v>65.229963540900002</c:v>
                </c:pt>
                <c:pt idx="54">
                  <c:v>65.8538883951</c:v>
                </c:pt>
                <c:pt idx="55">
                  <c:v>70.167623180899994</c:v>
                </c:pt>
                <c:pt idx="56">
                  <c:v>70.563181352399994</c:v>
                </c:pt>
                <c:pt idx="57">
                  <c:v>65.975237158300004</c:v>
                </c:pt>
                <c:pt idx="58">
                  <c:v>65.143557182199999</c:v>
                </c:pt>
                <c:pt idx="59">
                  <c:v>65.0956816315</c:v>
                </c:pt>
                <c:pt idx="60">
                  <c:v>65.334507497199994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E6-46C8-9B6E-85FF6AB8D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956816"/>
        <c:axId val="1969957232"/>
      </c:scatterChart>
      <c:valAx>
        <c:axId val="196995681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957232"/>
        <c:crosses val="autoZero"/>
        <c:crossBetween val="midCat"/>
      </c:valAx>
      <c:valAx>
        <c:axId val="196995723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95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'BAV-PE'!$F$1</c:f>
              <c:strCache>
                <c:ptCount val="1"/>
                <c:pt idx="0">
                  <c:v>BAU Ecol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'BAV-PE'!$F$2:$F$62</c:f>
              <c:numCache>
                <c:formatCode>#,##0.00\ "%"</c:formatCode>
                <c:ptCount val="61"/>
                <c:pt idx="0">
                  <c:v>5.3268111360699999</c:v>
                </c:pt>
                <c:pt idx="1">
                  <c:v>22.021274960500001</c:v>
                </c:pt>
                <c:pt idx="2">
                  <c:v>31.540819007700001</c:v>
                </c:pt>
                <c:pt idx="3">
                  <c:v>19.693233239200001</c:v>
                </c:pt>
                <c:pt idx="4">
                  <c:v>11.8402886685</c:v>
                </c:pt>
                <c:pt idx="5">
                  <c:v>9.2288441023699992</c:v>
                </c:pt>
                <c:pt idx="6">
                  <c:v>8.1419025253800008</c:v>
                </c:pt>
                <c:pt idx="7">
                  <c:v>8.5348525527899994</c:v>
                </c:pt>
                <c:pt idx="8">
                  <c:v>13.158723329500001</c:v>
                </c:pt>
                <c:pt idx="9">
                  <c:v>12.3211746507</c:v>
                </c:pt>
                <c:pt idx="10">
                  <c:v>10.2255608352</c:v>
                </c:pt>
                <c:pt idx="11">
                  <c:v>9.3825826203799991</c:v>
                </c:pt>
                <c:pt idx="12">
                  <c:v>9.0116934828899993</c:v>
                </c:pt>
                <c:pt idx="13">
                  <c:v>8.8980440674099999</c:v>
                </c:pt>
                <c:pt idx="14">
                  <c:v>8.9440724635100004</c:v>
                </c:pt>
                <c:pt idx="15">
                  <c:v>9.0762331280699993</c:v>
                </c:pt>
                <c:pt idx="16">
                  <c:v>9.2340931919500004</c:v>
                </c:pt>
                <c:pt idx="17">
                  <c:v>9.3739411611999994</c:v>
                </c:pt>
                <c:pt idx="18">
                  <c:v>9.4710784205700005</c:v>
                </c:pt>
                <c:pt idx="19">
                  <c:v>9.5183623928600003</c:v>
                </c:pt>
                <c:pt idx="20">
                  <c:v>9.5218674628599995</c:v>
                </c:pt>
                <c:pt idx="21">
                  <c:v>9.4952262154400007</c:v>
                </c:pt>
                <c:pt idx="22">
                  <c:v>9.4541618067800002</c:v>
                </c:pt>
                <c:pt idx="23">
                  <c:v>9.4123231599199997</c:v>
                </c:pt>
                <c:pt idx="24">
                  <c:v>9.3789484699999992</c:v>
                </c:pt>
                <c:pt idx="25">
                  <c:v>9.3583003311299997</c:v>
                </c:pt>
                <c:pt idx="26">
                  <c:v>9.3504109352900002</c:v>
                </c:pt>
                <c:pt idx="27">
                  <c:v>9.3525192150999992</c:v>
                </c:pt>
                <c:pt idx="28">
                  <c:v>9.3606353475800006</c:v>
                </c:pt>
                <c:pt idx="29">
                  <c:v>9.3708391320299995</c:v>
                </c:pt>
                <c:pt idx="30">
                  <c:v>9.3801180209700004</c:v>
                </c:pt>
                <c:pt idx="31">
                  <c:v>9.3867199158099996</c:v>
                </c:pt>
                <c:pt idx="32">
                  <c:v>9.3901096293999995</c:v>
                </c:pt>
                <c:pt idx="33">
                  <c:v>9.3906730499699993</c:v>
                </c:pt>
                <c:pt idx="34">
                  <c:v>9.3893189331899993</c:v>
                </c:pt>
                <c:pt idx="35">
                  <c:v>9.3871002093999998</c:v>
                </c:pt>
                <c:pt idx="36">
                  <c:v>9.3849316053600003</c:v>
                </c:pt>
                <c:pt idx="37">
                  <c:v>9.3834334005900004</c:v>
                </c:pt>
                <c:pt idx="38">
                  <c:v>9.3828931926300001</c:v>
                </c:pt>
                <c:pt idx="39">
                  <c:v>9.3833141304699996</c:v>
                </c:pt>
                <c:pt idx="40">
                  <c:v>9.3845096030599997</c:v>
                </c:pt>
                <c:pt idx="41">
                  <c:v>9.3862076868400006</c:v>
                </c:pt>
                <c:pt idx="42">
                  <c:v>9.3881389906300008</c:v>
                </c:pt>
                <c:pt idx="43">
                  <c:v>9.3900941739300006</c:v>
                </c:pt>
                <c:pt idx="44">
                  <c:v>9.3919487664899997</c:v>
                </c:pt>
                <c:pt idx="45">
                  <c:v>9.3936609227200005</c:v>
                </c:pt>
                <c:pt idx="46">
                  <c:v>9.3952517887999996</c:v>
                </c:pt>
                <c:pt idx="47">
                  <c:v>9.3967787041200008</c:v>
                </c:pt>
                <c:pt idx="48">
                  <c:v>9.3983095704400004</c:v>
                </c:pt>
                <c:pt idx="49">
                  <c:v>9.3999036386399997</c:v>
                </c:pt>
                <c:pt idx="50">
                  <c:v>9.4016007683900007</c:v>
                </c:pt>
                <c:pt idx="51">
                  <c:v>9.4034186507499999</c:v>
                </c:pt>
                <c:pt idx="52">
                  <c:v>9.4053559010299992</c:v>
                </c:pt>
                <c:pt idx="53">
                  <c:v>9.4073983452499998</c:v>
                </c:pt>
                <c:pt idx="54">
                  <c:v>9.4095260279000001</c:v>
                </c:pt>
                <c:pt idx="55">
                  <c:v>9.4117191492399996</c:v>
                </c:pt>
                <c:pt idx="56">
                  <c:v>9.4139619844000002</c:v>
                </c:pt>
                <c:pt idx="57">
                  <c:v>9.4162446035199991</c:v>
                </c:pt>
                <c:pt idx="58">
                  <c:v>9.4185627578699993</c:v>
                </c:pt>
                <c:pt idx="59">
                  <c:v>9.4209165776500008</c:v>
                </c:pt>
                <c:pt idx="60">
                  <c:v>9.4233087698899993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E6-46C8-9B6E-85FF6AB8D9D5}"/>
            </c:ext>
          </c:extLst>
        </c:ser>
        <c:ser>
          <c:idx val="1"/>
          <c:order val="1"/>
          <c:tx>
            <c:strRef>
              <c:f>'BAV-PE'!$G$1</c:f>
              <c:strCache>
                <c:ptCount val="1"/>
                <c:pt idx="0">
                  <c:v>PE-P Ecol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'BAV-PE'!$G$2:$G$62</c:f>
              <c:numCache>
                <c:formatCode>#,##0.00\ "%"</c:formatCode>
                <c:ptCount val="61"/>
                <c:pt idx="0">
                  <c:v>6.1099755930299997</c:v>
                </c:pt>
                <c:pt idx="1">
                  <c:v>22.596987175700001</c:v>
                </c:pt>
                <c:pt idx="2">
                  <c:v>36.8739718048</c:v>
                </c:pt>
                <c:pt idx="3">
                  <c:v>40.890718848699997</c:v>
                </c:pt>
                <c:pt idx="4">
                  <c:v>26.753896231999999</c:v>
                </c:pt>
                <c:pt idx="5">
                  <c:v>20.7210787016</c:v>
                </c:pt>
                <c:pt idx="6">
                  <c:v>16.967293853099999</c:v>
                </c:pt>
                <c:pt idx="7">
                  <c:v>14.273965884000001</c:v>
                </c:pt>
                <c:pt idx="8">
                  <c:v>12.9163400204</c:v>
                </c:pt>
                <c:pt idx="9">
                  <c:v>19.5273944616</c:v>
                </c:pt>
                <c:pt idx="10">
                  <c:v>28.021593885200001</c:v>
                </c:pt>
                <c:pt idx="11">
                  <c:v>23.150680544699998</c:v>
                </c:pt>
                <c:pt idx="12">
                  <c:v>19.617232798100002</c:v>
                </c:pt>
                <c:pt idx="13">
                  <c:v>17.309612056799999</c:v>
                </c:pt>
                <c:pt idx="14">
                  <c:v>14.904526621800001</c:v>
                </c:pt>
                <c:pt idx="15">
                  <c:v>12.9853777579</c:v>
                </c:pt>
                <c:pt idx="16">
                  <c:v>13.024654552699999</c:v>
                </c:pt>
                <c:pt idx="17">
                  <c:v>22.229167585199999</c:v>
                </c:pt>
                <c:pt idx="18">
                  <c:v>26.709450116399999</c:v>
                </c:pt>
                <c:pt idx="19">
                  <c:v>21.182631715999999</c:v>
                </c:pt>
                <c:pt idx="20">
                  <c:v>18.496967815000001</c:v>
                </c:pt>
                <c:pt idx="21">
                  <c:v>16.071390540199999</c:v>
                </c:pt>
                <c:pt idx="22">
                  <c:v>13.862517860500001</c:v>
                </c:pt>
                <c:pt idx="23">
                  <c:v>12.445668015400001</c:v>
                </c:pt>
                <c:pt idx="24">
                  <c:v>16.582935473399999</c:v>
                </c:pt>
                <c:pt idx="25">
                  <c:v>25.6831009126</c:v>
                </c:pt>
                <c:pt idx="26">
                  <c:v>23.444507785799999</c:v>
                </c:pt>
                <c:pt idx="27">
                  <c:v>19.577269600600001</c:v>
                </c:pt>
                <c:pt idx="28">
                  <c:v>17.2382426287</c:v>
                </c:pt>
                <c:pt idx="29">
                  <c:v>14.8763874589</c:v>
                </c:pt>
                <c:pt idx="30">
                  <c:v>12.9664181667</c:v>
                </c:pt>
                <c:pt idx="31">
                  <c:v>12.5180027021</c:v>
                </c:pt>
                <c:pt idx="32">
                  <c:v>20.760518296800001</c:v>
                </c:pt>
                <c:pt idx="33">
                  <c:v>26.163661741799999</c:v>
                </c:pt>
                <c:pt idx="34">
                  <c:v>21.035620517600002</c:v>
                </c:pt>
                <c:pt idx="35">
                  <c:v>18.321933393399998</c:v>
                </c:pt>
                <c:pt idx="36">
                  <c:v>15.9579361448</c:v>
                </c:pt>
                <c:pt idx="37">
                  <c:v>13.7536366456</c:v>
                </c:pt>
                <c:pt idx="38">
                  <c:v>12.2573023898</c:v>
                </c:pt>
                <c:pt idx="39">
                  <c:v>15.266007352100001</c:v>
                </c:pt>
                <c:pt idx="40">
                  <c:v>24.365501417899999</c:v>
                </c:pt>
                <c:pt idx="41">
                  <c:v>23.495242810800001</c:v>
                </c:pt>
                <c:pt idx="42">
                  <c:v>19.360623400200001</c:v>
                </c:pt>
                <c:pt idx="43">
                  <c:v>17.048435271500001</c:v>
                </c:pt>
                <c:pt idx="44">
                  <c:v>14.7220492762</c:v>
                </c:pt>
                <c:pt idx="45">
                  <c:v>12.788462855500001</c:v>
                </c:pt>
                <c:pt idx="46">
                  <c:v>11.9588570885</c:v>
                </c:pt>
                <c:pt idx="47">
                  <c:v>19.392492168699999</c:v>
                </c:pt>
                <c:pt idx="48">
                  <c:v>25.682730232299999</c:v>
                </c:pt>
                <c:pt idx="49">
                  <c:v>20.897391279000001</c:v>
                </c:pt>
                <c:pt idx="50">
                  <c:v>18.0922043785</c:v>
                </c:pt>
                <c:pt idx="51">
                  <c:v>15.7832396864</c:v>
                </c:pt>
                <c:pt idx="52">
                  <c:v>13.5930101594</c:v>
                </c:pt>
                <c:pt idx="53">
                  <c:v>12.0476030802</c:v>
                </c:pt>
                <c:pt idx="54">
                  <c:v>14.2325357471</c:v>
                </c:pt>
                <c:pt idx="55">
                  <c:v>23.226802567699998</c:v>
                </c:pt>
                <c:pt idx="56">
                  <c:v>23.534275766899999</c:v>
                </c:pt>
                <c:pt idx="57">
                  <c:v>19.152643116099998</c:v>
                </c:pt>
                <c:pt idx="58">
                  <c:v>16.857045500000002</c:v>
                </c:pt>
                <c:pt idx="59">
                  <c:v>14.5703337783</c:v>
                </c:pt>
                <c:pt idx="60">
                  <c:v>12.6266899538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E6-46C8-9B6E-85FF6AB8D9D5}"/>
            </c:ext>
          </c:extLst>
        </c:ser>
        <c:ser>
          <c:idx val="2"/>
          <c:order val="2"/>
          <c:tx>
            <c:strRef>
              <c:f>'BAV-PE'!$H$1</c:f>
              <c:strCache>
                <c:ptCount val="1"/>
                <c:pt idx="0">
                  <c:v>PE-W Ecol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'BAV-PE'!$H$2:$H$62</c:f>
              <c:numCache>
                <c:formatCode>#,##0.00\ "%"</c:formatCode>
                <c:ptCount val="61"/>
                <c:pt idx="0">
                  <c:v>6.87732496907</c:v>
                </c:pt>
                <c:pt idx="1">
                  <c:v>23.497140739900001</c:v>
                </c:pt>
                <c:pt idx="2">
                  <c:v>30.8778585624</c:v>
                </c:pt>
                <c:pt idx="3">
                  <c:v>18.910667093600001</c:v>
                </c:pt>
                <c:pt idx="4">
                  <c:v>10.7776156611</c:v>
                </c:pt>
                <c:pt idx="5">
                  <c:v>8.3331928226900001</c:v>
                </c:pt>
                <c:pt idx="6">
                  <c:v>10.555719928</c:v>
                </c:pt>
                <c:pt idx="7">
                  <c:v>14.6945880084</c:v>
                </c:pt>
                <c:pt idx="8">
                  <c:v>11.802101605800001</c:v>
                </c:pt>
                <c:pt idx="9">
                  <c:v>8.8104624989799998</c:v>
                </c:pt>
                <c:pt idx="10">
                  <c:v>8.1306843066199992</c:v>
                </c:pt>
                <c:pt idx="11">
                  <c:v>8.2661822839100001</c:v>
                </c:pt>
                <c:pt idx="12">
                  <c:v>8.6777736909400005</c:v>
                </c:pt>
                <c:pt idx="13">
                  <c:v>9.4853129748100002</c:v>
                </c:pt>
                <c:pt idx="14">
                  <c:v>9.9741412902099995</c:v>
                </c:pt>
                <c:pt idx="15">
                  <c:v>9.4787085983899999</c:v>
                </c:pt>
                <c:pt idx="16">
                  <c:v>9.2670124169299992</c:v>
                </c:pt>
                <c:pt idx="17">
                  <c:v>9.1708628469000004</c:v>
                </c:pt>
                <c:pt idx="18">
                  <c:v>9.12308500402</c:v>
                </c:pt>
                <c:pt idx="19">
                  <c:v>9.1056541865499998</c:v>
                </c:pt>
                <c:pt idx="20">
                  <c:v>9.1101494109699992</c:v>
                </c:pt>
                <c:pt idx="21">
                  <c:v>9.1283066211200001</c:v>
                </c:pt>
                <c:pt idx="22">
                  <c:v>9.15142121391</c:v>
                </c:pt>
                <c:pt idx="23">
                  <c:v>9.1718379281299995</c:v>
                </c:pt>
                <c:pt idx="24">
                  <c:v>9.1843098335699995</c:v>
                </c:pt>
                <c:pt idx="25">
                  <c:v>9.1865756029500005</c:v>
                </c:pt>
                <c:pt idx="26">
                  <c:v>9.1791249967299997</c:v>
                </c:pt>
                <c:pt idx="27">
                  <c:v>9.1643904879699996</c:v>
                </c:pt>
                <c:pt idx="28">
                  <c:v>9.1456949142199999</c:v>
                </c:pt>
                <c:pt idx="29">
                  <c:v>9.1262640212099999</c:v>
                </c:pt>
                <c:pt idx="30">
                  <c:v>9.1085199689900005</c:v>
                </c:pt>
                <c:pt idx="31">
                  <c:v>9.0937489414100003</c:v>
                </c:pt>
                <c:pt idx="32">
                  <c:v>9.0821217882400003</c:v>
                </c:pt>
                <c:pt idx="33">
                  <c:v>9.0729680447300005</c:v>
                </c:pt>
                <c:pt idx="34">
                  <c:v>9.0651707542600004</c:v>
                </c:pt>
                <c:pt idx="35">
                  <c:v>9.0575573762000001</c:v>
                </c:pt>
                <c:pt idx="36">
                  <c:v>9.0491970117200005</c:v>
                </c:pt>
                <c:pt idx="37">
                  <c:v>9.0395602685200007</c:v>
                </c:pt>
                <c:pt idx="38">
                  <c:v>9.0285416312500004</c:v>
                </c:pt>
                <c:pt idx="39">
                  <c:v>9.0163760597200007</c:v>
                </c:pt>
                <c:pt idx="40">
                  <c:v>9.0034976211900002</c:v>
                </c:pt>
                <c:pt idx="41">
                  <c:v>8.9903887411000003</c:v>
                </c:pt>
                <c:pt idx="42">
                  <c:v>8.9774579188099999</c:v>
                </c:pt>
                <c:pt idx="43">
                  <c:v>8.9649669970500003</c:v>
                </c:pt>
                <c:pt idx="44">
                  <c:v>8.9530118132799998</c:v>
                </c:pt>
                <c:pt idx="45">
                  <c:v>8.9415465116899995</c:v>
                </c:pt>
                <c:pt idx="46">
                  <c:v>8.9304341657199995</c:v>
                </c:pt>
                <c:pt idx="47">
                  <c:v>8.9195048578700007</c:v>
                </c:pt>
                <c:pt idx="48">
                  <c:v>8.9086056782200007</c:v>
                </c:pt>
                <c:pt idx="49">
                  <c:v>8.8976331562799995</c:v>
                </c:pt>
                <c:pt idx="50">
                  <c:v>8.8865452798500009</c:v>
                </c:pt>
                <c:pt idx="51">
                  <c:v>8.8753557783599994</c:v>
                </c:pt>
                <c:pt idx="52">
                  <c:v>8.8641167696600007</c:v>
                </c:pt>
                <c:pt idx="53">
                  <c:v>8.8528969551000003</c:v>
                </c:pt>
                <c:pt idx="54">
                  <c:v>8.84176166578</c:v>
                </c:pt>
                <c:pt idx="55">
                  <c:v>8.8307589435399994</c:v>
                </c:pt>
                <c:pt idx="56">
                  <c:v>8.8199133089899995</c:v>
                </c:pt>
                <c:pt idx="57">
                  <c:v>8.8092266274799993</c:v>
                </c:pt>
                <c:pt idx="58">
                  <c:v>8.7986839803500008</c:v>
                </c:pt>
                <c:pt idx="59">
                  <c:v>8.7882618368400003</c:v>
                </c:pt>
                <c:pt idx="60">
                  <c:v>8.7779360071700001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E6-46C8-9B6E-85FF6AB8D9D5}"/>
            </c:ext>
          </c:extLst>
        </c:ser>
        <c:ser>
          <c:idx val="3"/>
          <c:order val="3"/>
          <c:tx>
            <c:strRef>
              <c:f>'BAV-PE'!$I$1</c:f>
              <c:strCache>
                <c:ptCount val="1"/>
                <c:pt idx="0">
                  <c:v>PE-PW Ecol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'BAV-PE'!$I$2:$I$62</c:f>
              <c:numCache>
                <c:formatCode>#,##0.00\ "%"</c:formatCode>
                <c:ptCount val="61"/>
                <c:pt idx="0">
                  <c:v>7.9787680661899998</c:v>
                </c:pt>
                <c:pt idx="1">
                  <c:v>24.257073095900001</c:v>
                </c:pt>
                <c:pt idx="2">
                  <c:v>38.032991486900002</c:v>
                </c:pt>
                <c:pt idx="3">
                  <c:v>40.479947614499999</c:v>
                </c:pt>
                <c:pt idx="4">
                  <c:v>26.586906101299999</c:v>
                </c:pt>
                <c:pt idx="5">
                  <c:v>21.408062918100001</c:v>
                </c:pt>
                <c:pt idx="6">
                  <c:v>18.739758476700001</c:v>
                </c:pt>
                <c:pt idx="7">
                  <c:v>16.9999708426</c:v>
                </c:pt>
                <c:pt idx="8">
                  <c:v>16.630051476799999</c:v>
                </c:pt>
                <c:pt idx="9">
                  <c:v>23.7367309955</c:v>
                </c:pt>
                <c:pt idx="10">
                  <c:v>27.546426453900001</c:v>
                </c:pt>
                <c:pt idx="11">
                  <c:v>22.8137892793</c:v>
                </c:pt>
                <c:pt idx="12">
                  <c:v>20.591318512299999</c:v>
                </c:pt>
                <c:pt idx="13">
                  <c:v>19.255516892799999</c:v>
                </c:pt>
                <c:pt idx="14">
                  <c:v>17.8412031489</c:v>
                </c:pt>
                <c:pt idx="15">
                  <c:v>16.784273407099999</c:v>
                </c:pt>
                <c:pt idx="16">
                  <c:v>17.754011009399999</c:v>
                </c:pt>
                <c:pt idx="17">
                  <c:v>24.189403502899999</c:v>
                </c:pt>
                <c:pt idx="18">
                  <c:v>25.0883096755</c:v>
                </c:pt>
                <c:pt idx="19">
                  <c:v>21.727282327099999</c:v>
                </c:pt>
                <c:pt idx="20">
                  <c:v>20.198333328299999</c:v>
                </c:pt>
                <c:pt idx="21">
                  <c:v>18.801935523499999</c:v>
                </c:pt>
                <c:pt idx="22">
                  <c:v>17.546772363999999</c:v>
                </c:pt>
                <c:pt idx="23">
                  <c:v>16.800064491600001</c:v>
                </c:pt>
                <c:pt idx="24">
                  <c:v>19.766786831899999</c:v>
                </c:pt>
                <c:pt idx="25">
                  <c:v>25.0412094255</c:v>
                </c:pt>
                <c:pt idx="26">
                  <c:v>23.1641434754</c:v>
                </c:pt>
                <c:pt idx="27">
                  <c:v>20.974557495199999</c:v>
                </c:pt>
                <c:pt idx="28">
                  <c:v>19.657196779900001</c:v>
                </c:pt>
                <c:pt idx="29">
                  <c:v>18.3027740092</c:v>
                </c:pt>
                <c:pt idx="30">
                  <c:v>17.1814998961</c:v>
                </c:pt>
                <c:pt idx="31">
                  <c:v>16.7065094282</c:v>
                </c:pt>
                <c:pt idx="32">
                  <c:v>21.107357055800001</c:v>
                </c:pt>
                <c:pt idx="33">
                  <c:v>24.857708514799999</c:v>
                </c:pt>
                <c:pt idx="34">
                  <c:v>22.100247812799999</c:v>
                </c:pt>
                <c:pt idx="35">
                  <c:v>20.3906111366</c:v>
                </c:pt>
                <c:pt idx="36">
                  <c:v>19.080958341700001</c:v>
                </c:pt>
                <c:pt idx="37">
                  <c:v>17.776853452400001</c:v>
                </c:pt>
                <c:pt idx="38">
                  <c:v>16.7943860669</c:v>
                </c:pt>
                <c:pt idx="39">
                  <c:v>17.136644903400001</c:v>
                </c:pt>
                <c:pt idx="40">
                  <c:v>22.281592816900002</c:v>
                </c:pt>
                <c:pt idx="41">
                  <c:v>24.095021748000001</c:v>
                </c:pt>
                <c:pt idx="42">
                  <c:v>21.267413152900001</c:v>
                </c:pt>
                <c:pt idx="43">
                  <c:v>19.824918825800001</c:v>
                </c:pt>
                <c:pt idx="44">
                  <c:v>18.507690524699999</c:v>
                </c:pt>
                <c:pt idx="45">
                  <c:v>17.271267012300001</c:v>
                </c:pt>
                <c:pt idx="46">
                  <c:v>16.440104801</c:v>
                </c:pt>
                <c:pt idx="47">
                  <c:v>18.013474513199998</c:v>
                </c:pt>
                <c:pt idx="48">
                  <c:v>23.208814094299999</c:v>
                </c:pt>
                <c:pt idx="49">
                  <c:v>22.924794202600001</c:v>
                </c:pt>
                <c:pt idx="50">
                  <c:v>20.5645049327</c:v>
                </c:pt>
                <c:pt idx="51">
                  <c:v>19.2598485647</c:v>
                </c:pt>
                <c:pt idx="52">
                  <c:v>17.9506176477</c:v>
                </c:pt>
                <c:pt idx="53">
                  <c:v>16.801502848599998</c:v>
                </c:pt>
                <c:pt idx="54">
                  <c:v>16.139508715200002</c:v>
                </c:pt>
                <c:pt idx="55">
                  <c:v>19.170469790599999</c:v>
                </c:pt>
                <c:pt idx="56">
                  <c:v>23.7574983447</c:v>
                </c:pt>
                <c:pt idx="57">
                  <c:v>21.854970342000001</c:v>
                </c:pt>
                <c:pt idx="58">
                  <c:v>19.959225294500001</c:v>
                </c:pt>
                <c:pt idx="59">
                  <c:v>18.7083200611</c:v>
                </c:pt>
                <c:pt idx="60">
                  <c:v>17.426555929100001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E6-46C8-9B6E-85FF6AB8D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956816"/>
        <c:axId val="1969957232"/>
      </c:scatterChart>
      <c:valAx>
        <c:axId val="196995681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957232"/>
        <c:crosses val="autoZero"/>
        <c:crossBetween val="midCat"/>
      </c:valAx>
      <c:valAx>
        <c:axId val="1969957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95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'BAV-PE'!$J$1</c:f>
              <c:strCache>
                <c:ptCount val="1"/>
                <c:pt idx="0">
                  <c:v>BAU SocI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'BAV-PE'!$J$2:$J$62</c:f>
              <c:numCache>
                <c:formatCode>#,##0.00\ "%"</c:formatCode>
                <c:ptCount val="61"/>
                <c:pt idx="0">
                  <c:v>61.108540746000003</c:v>
                </c:pt>
                <c:pt idx="1">
                  <c:v>65.087398777999994</c:v>
                </c:pt>
                <c:pt idx="2">
                  <c:v>67.508311168500001</c:v>
                </c:pt>
                <c:pt idx="3">
                  <c:v>68.328551517700006</c:v>
                </c:pt>
                <c:pt idx="4">
                  <c:v>68.520531676900006</c:v>
                </c:pt>
                <c:pt idx="5">
                  <c:v>68.716196973799995</c:v>
                </c:pt>
                <c:pt idx="6">
                  <c:v>69.010421140199995</c:v>
                </c:pt>
                <c:pt idx="7">
                  <c:v>69.379572323999994</c:v>
                </c:pt>
                <c:pt idx="8">
                  <c:v>69.716856656100006</c:v>
                </c:pt>
                <c:pt idx="9">
                  <c:v>69.776944775800004</c:v>
                </c:pt>
                <c:pt idx="10">
                  <c:v>69.6133572034</c:v>
                </c:pt>
                <c:pt idx="11">
                  <c:v>69.414599266099998</c:v>
                </c:pt>
                <c:pt idx="12">
                  <c:v>69.257893729200006</c:v>
                </c:pt>
                <c:pt idx="13">
                  <c:v>69.164060130099998</c:v>
                </c:pt>
                <c:pt idx="14">
                  <c:v>69.127622569600007</c:v>
                </c:pt>
                <c:pt idx="15">
                  <c:v>69.131332047900003</c:v>
                </c:pt>
                <c:pt idx="16">
                  <c:v>69.155276563499996</c:v>
                </c:pt>
                <c:pt idx="17">
                  <c:v>69.182473880000003</c:v>
                </c:pt>
                <c:pt idx="18">
                  <c:v>69.201576706599994</c:v>
                </c:pt>
                <c:pt idx="19">
                  <c:v>69.207358013800004</c:v>
                </c:pt>
                <c:pt idx="20">
                  <c:v>69.199721895400003</c:v>
                </c:pt>
                <c:pt idx="21">
                  <c:v>69.181955772199998</c:v>
                </c:pt>
                <c:pt idx="22">
                  <c:v>69.158834447900006</c:v>
                </c:pt>
                <c:pt idx="23">
                  <c:v>69.1350257924</c:v>
                </c:pt>
                <c:pt idx="24">
                  <c:v>69.114050028700007</c:v>
                </c:pt>
                <c:pt idx="25">
                  <c:v>69.097846022699997</c:v>
                </c:pt>
                <c:pt idx="26">
                  <c:v>69.086842504000003</c:v>
                </c:pt>
                <c:pt idx="27">
                  <c:v>69.080348192900004</c:v>
                </c:pt>
                <c:pt idx="28">
                  <c:v>69.077063355899995</c:v>
                </c:pt>
                <c:pt idx="29">
                  <c:v>69.075555382700003</c:v>
                </c:pt>
                <c:pt idx="30">
                  <c:v>69.074604048200001</c:v>
                </c:pt>
                <c:pt idx="31">
                  <c:v>69.073384312599998</c:v>
                </c:pt>
                <c:pt idx="32">
                  <c:v>69.071501674199993</c:v>
                </c:pt>
                <c:pt idx="33">
                  <c:v>69.0689223121</c:v>
                </c:pt>
                <c:pt idx="34">
                  <c:v>69.065848862300001</c:v>
                </c:pt>
                <c:pt idx="35">
                  <c:v>69.0625873523</c:v>
                </c:pt>
                <c:pt idx="36">
                  <c:v>69.059437420600005</c:v>
                </c:pt>
                <c:pt idx="37">
                  <c:v>69.056622025999999</c:v>
                </c:pt>
                <c:pt idx="38">
                  <c:v>69.054258694200001</c:v>
                </c:pt>
                <c:pt idx="39">
                  <c:v>69.052364482100003</c:v>
                </c:pt>
                <c:pt idx="40">
                  <c:v>69.050882038599994</c:v>
                </c:pt>
                <c:pt idx="41">
                  <c:v>69.049713756800003</c:v>
                </c:pt>
                <c:pt idx="42">
                  <c:v>69.048753659599996</c:v>
                </c:pt>
                <c:pt idx="43">
                  <c:v>69.0479106879</c:v>
                </c:pt>
                <c:pt idx="44">
                  <c:v>69.047121127200001</c:v>
                </c:pt>
                <c:pt idx="45">
                  <c:v>69.046351078800001</c:v>
                </c:pt>
                <c:pt idx="46">
                  <c:v>69.045591775199995</c:v>
                </c:pt>
                <c:pt idx="47">
                  <c:v>69.044851172099996</c:v>
                </c:pt>
                <c:pt idx="48">
                  <c:v>69.044144906200003</c:v>
                </c:pt>
                <c:pt idx="49">
                  <c:v>69.043488805099997</c:v>
                </c:pt>
                <c:pt idx="50">
                  <c:v>69.042894052099996</c:v>
                </c:pt>
                <c:pt idx="51">
                  <c:v>69.0423651535</c:v>
                </c:pt>
                <c:pt idx="52">
                  <c:v>69.041900187400003</c:v>
                </c:pt>
                <c:pt idx="53">
                  <c:v>69.041492493199996</c:v>
                </c:pt>
                <c:pt idx="54">
                  <c:v>69.041132924300001</c:v>
                </c:pt>
                <c:pt idx="55">
                  <c:v>69.040811968900002</c:v>
                </c:pt>
                <c:pt idx="56">
                  <c:v>69.040521303700004</c:v>
                </c:pt>
                <c:pt idx="57">
                  <c:v>69.040254625200006</c:v>
                </c:pt>
                <c:pt idx="58">
                  <c:v>69.040007811600006</c:v>
                </c:pt>
                <c:pt idx="59">
                  <c:v>69.039778601899997</c:v>
                </c:pt>
                <c:pt idx="60">
                  <c:v>69.039566020899997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E6-46C8-9B6E-85FF6AB8D9D5}"/>
            </c:ext>
          </c:extLst>
        </c:ser>
        <c:ser>
          <c:idx val="1"/>
          <c:order val="1"/>
          <c:tx>
            <c:strRef>
              <c:f>'BAV-PE'!$K$1</c:f>
              <c:strCache>
                <c:ptCount val="1"/>
                <c:pt idx="0">
                  <c:v>PE-P SocI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'BAV-PE'!$K$2:$K$62</c:f>
              <c:numCache>
                <c:formatCode>#,##0.00\ "%"</c:formatCode>
                <c:ptCount val="61"/>
                <c:pt idx="0">
                  <c:v>61.231155662200003</c:v>
                </c:pt>
                <c:pt idx="1">
                  <c:v>65.183048398300002</c:v>
                </c:pt>
                <c:pt idx="2">
                  <c:v>67.978196981599993</c:v>
                </c:pt>
                <c:pt idx="3">
                  <c:v>69.505744877799998</c:v>
                </c:pt>
                <c:pt idx="4">
                  <c:v>69.670814227099996</c:v>
                </c:pt>
                <c:pt idx="5">
                  <c:v>69.359334317600002</c:v>
                </c:pt>
                <c:pt idx="6">
                  <c:v>69.106111943900004</c:v>
                </c:pt>
                <c:pt idx="7">
                  <c:v>69.120678100199996</c:v>
                </c:pt>
                <c:pt idx="8">
                  <c:v>69.4743614482</c:v>
                </c:pt>
                <c:pt idx="9">
                  <c:v>70.105411341799993</c:v>
                </c:pt>
                <c:pt idx="10">
                  <c:v>70.536936960700004</c:v>
                </c:pt>
                <c:pt idx="11">
                  <c:v>70.288041893499994</c:v>
                </c:pt>
                <c:pt idx="12">
                  <c:v>69.701656451100007</c:v>
                </c:pt>
                <c:pt idx="13">
                  <c:v>69.172672786099994</c:v>
                </c:pt>
                <c:pt idx="14">
                  <c:v>68.895205973399996</c:v>
                </c:pt>
                <c:pt idx="15">
                  <c:v>68.973371235299993</c:v>
                </c:pt>
                <c:pt idx="16">
                  <c:v>69.4225458266</c:v>
                </c:pt>
                <c:pt idx="17">
                  <c:v>70.0760898905</c:v>
                </c:pt>
                <c:pt idx="18">
                  <c:v>70.335550496400003</c:v>
                </c:pt>
                <c:pt idx="19">
                  <c:v>69.9745331381</c:v>
                </c:pt>
                <c:pt idx="20">
                  <c:v>69.442905260499998</c:v>
                </c:pt>
                <c:pt idx="21">
                  <c:v>69.044123338299997</c:v>
                </c:pt>
                <c:pt idx="22">
                  <c:v>68.937408770900007</c:v>
                </c:pt>
                <c:pt idx="23">
                  <c:v>69.190827890999998</c:v>
                </c:pt>
                <c:pt idx="24">
                  <c:v>69.771641091000006</c:v>
                </c:pt>
                <c:pt idx="25">
                  <c:v>70.308813605599994</c:v>
                </c:pt>
                <c:pt idx="26">
                  <c:v>70.241830157699994</c:v>
                </c:pt>
                <c:pt idx="27">
                  <c:v>69.747396736499994</c:v>
                </c:pt>
                <c:pt idx="28">
                  <c:v>69.249074203099994</c:v>
                </c:pt>
                <c:pt idx="29">
                  <c:v>68.964672213900002</c:v>
                </c:pt>
                <c:pt idx="30">
                  <c:v>69.013042706500002</c:v>
                </c:pt>
                <c:pt idx="31">
                  <c:v>69.421920725299998</c:v>
                </c:pt>
                <c:pt idx="32">
                  <c:v>70.059957224800002</c:v>
                </c:pt>
                <c:pt idx="33">
                  <c:v>70.366948614999998</c:v>
                </c:pt>
                <c:pt idx="34">
                  <c:v>70.047135931900002</c:v>
                </c:pt>
                <c:pt idx="35">
                  <c:v>69.516650092000006</c:v>
                </c:pt>
                <c:pt idx="36">
                  <c:v>69.095163203699997</c:v>
                </c:pt>
                <c:pt idx="37">
                  <c:v>68.951449506100005</c:v>
                </c:pt>
                <c:pt idx="38">
                  <c:v>69.163953811699997</c:v>
                </c:pt>
                <c:pt idx="39">
                  <c:v>69.715044916500005</c:v>
                </c:pt>
                <c:pt idx="40">
                  <c:v>70.285329558499996</c:v>
                </c:pt>
                <c:pt idx="41">
                  <c:v>70.287475401600005</c:v>
                </c:pt>
                <c:pt idx="42">
                  <c:v>69.814464281499994</c:v>
                </c:pt>
                <c:pt idx="43">
                  <c:v>69.3059310358</c:v>
                </c:pt>
                <c:pt idx="44">
                  <c:v>68.994501827199997</c:v>
                </c:pt>
                <c:pt idx="45">
                  <c:v>69.008304011899995</c:v>
                </c:pt>
                <c:pt idx="46">
                  <c:v>69.384158613400004</c:v>
                </c:pt>
                <c:pt idx="47">
                  <c:v>70.018045753300001</c:v>
                </c:pt>
                <c:pt idx="48">
                  <c:v>70.379590924799999</c:v>
                </c:pt>
                <c:pt idx="49">
                  <c:v>70.102842727099997</c:v>
                </c:pt>
                <c:pt idx="50">
                  <c:v>69.573737478400005</c:v>
                </c:pt>
                <c:pt idx="51">
                  <c:v>69.133759394199998</c:v>
                </c:pt>
                <c:pt idx="52">
                  <c:v>68.960642289600003</c:v>
                </c:pt>
                <c:pt idx="53">
                  <c:v>69.141177933899996</c:v>
                </c:pt>
                <c:pt idx="54">
                  <c:v>69.668077621899997</c:v>
                </c:pt>
                <c:pt idx="55">
                  <c:v>70.261735347699997</c:v>
                </c:pt>
                <c:pt idx="56">
                  <c:v>70.320884443799997</c:v>
                </c:pt>
                <c:pt idx="57">
                  <c:v>69.867156589499999</c:v>
                </c:pt>
                <c:pt idx="58">
                  <c:v>69.350155653599998</c:v>
                </c:pt>
                <c:pt idx="59">
                  <c:v>69.016046290800006</c:v>
                </c:pt>
                <c:pt idx="60">
                  <c:v>69.000451698500001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E6-46C8-9B6E-85FF6AB8D9D5}"/>
            </c:ext>
          </c:extLst>
        </c:ser>
        <c:ser>
          <c:idx val="2"/>
          <c:order val="2"/>
          <c:tx>
            <c:strRef>
              <c:f>'BAV-PE'!$L$1</c:f>
              <c:strCache>
                <c:ptCount val="1"/>
                <c:pt idx="0">
                  <c:v>PE-W SocI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'BAV-PE'!$L$2:$L$62</c:f>
              <c:numCache>
                <c:formatCode>#,##0.00\ "%"</c:formatCode>
                <c:ptCount val="61"/>
                <c:pt idx="0">
                  <c:v>76.350007927299998</c:v>
                </c:pt>
                <c:pt idx="1">
                  <c:v>76.935021975699996</c:v>
                </c:pt>
                <c:pt idx="2">
                  <c:v>77.288936390200007</c:v>
                </c:pt>
                <c:pt idx="3">
                  <c:v>77.421871528799997</c:v>
                </c:pt>
                <c:pt idx="4">
                  <c:v>77.474015774999998</c:v>
                </c:pt>
                <c:pt idx="5">
                  <c:v>77.537229404599998</c:v>
                </c:pt>
                <c:pt idx="6">
                  <c:v>77.616547544900001</c:v>
                </c:pt>
                <c:pt idx="7">
                  <c:v>77.678387937500005</c:v>
                </c:pt>
                <c:pt idx="8">
                  <c:v>77.687773561300006</c:v>
                </c:pt>
                <c:pt idx="9">
                  <c:v>77.668665289200007</c:v>
                </c:pt>
                <c:pt idx="10">
                  <c:v>77.6534174369</c:v>
                </c:pt>
                <c:pt idx="11">
                  <c:v>77.649274552799994</c:v>
                </c:pt>
                <c:pt idx="12">
                  <c:v>77.653025710700007</c:v>
                </c:pt>
                <c:pt idx="13">
                  <c:v>77.658938912099998</c:v>
                </c:pt>
                <c:pt idx="14">
                  <c:v>77.659318043799999</c:v>
                </c:pt>
                <c:pt idx="15">
                  <c:v>77.650762770100002</c:v>
                </c:pt>
                <c:pt idx="16">
                  <c:v>77.639088176300007</c:v>
                </c:pt>
                <c:pt idx="17">
                  <c:v>77.6279058585</c:v>
                </c:pt>
                <c:pt idx="18">
                  <c:v>77.618549633499995</c:v>
                </c:pt>
                <c:pt idx="19">
                  <c:v>77.6113805345</c:v>
                </c:pt>
                <c:pt idx="20">
                  <c:v>77.606244439400001</c:v>
                </c:pt>
                <c:pt idx="21">
                  <c:v>77.602710142199996</c:v>
                </c:pt>
                <c:pt idx="22">
                  <c:v>77.600246037299996</c:v>
                </c:pt>
                <c:pt idx="23">
                  <c:v>77.598356204200002</c:v>
                </c:pt>
                <c:pt idx="24">
                  <c:v>77.596668480700004</c:v>
                </c:pt>
                <c:pt idx="25">
                  <c:v>77.594970881400002</c:v>
                </c:pt>
                <c:pt idx="26">
                  <c:v>77.593202756400004</c:v>
                </c:pt>
                <c:pt idx="27">
                  <c:v>77.591414880599999</c:v>
                </c:pt>
                <c:pt idx="28">
                  <c:v>77.589715838499998</c:v>
                </c:pt>
                <c:pt idx="29">
                  <c:v>77.588220684199996</c:v>
                </c:pt>
                <c:pt idx="30">
                  <c:v>77.587013178999996</c:v>
                </c:pt>
                <c:pt idx="31">
                  <c:v>77.586126758999995</c:v>
                </c:pt>
                <c:pt idx="32">
                  <c:v>77.585543588199997</c:v>
                </c:pt>
                <c:pt idx="33">
                  <c:v>77.585206933699993</c:v>
                </c:pt>
                <c:pt idx="34">
                  <c:v>77.585040232599994</c:v>
                </c:pt>
                <c:pt idx="35">
                  <c:v>77.584966445899994</c:v>
                </c:pt>
                <c:pt idx="36">
                  <c:v>77.584922973499999</c:v>
                </c:pt>
                <c:pt idx="37">
                  <c:v>77.584869733800005</c:v>
                </c:pt>
                <c:pt idx="38">
                  <c:v>77.584790262200002</c:v>
                </c:pt>
                <c:pt idx="39">
                  <c:v>77.584687362099999</c:v>
                </c:pt>
                <c:pt idx="40">
                  <c:v>77.584575714799996</c:v>
                </c:pt>
                <c:pt idx="41">
                  <c:v>77.5844739347</c:v>
                </c:pt>
                <c:pt idx="42">
                  <c:v>77.584398035500001</c:v>
                </c:pt>
                <c:pt idx="43">
                  <c:v>77.584357429799994</c:v>
                </c:pt>
                <c:pt idx="44">
                  <c:v>77.584353696500003</c:v>
                </c:pt>
                <c:pt idx="45">
                  <c:v>77.584381645099995</c:v>
                </c:pt>
                <c:pt idx="46">
                  <c:v>77.584431795699999</c:v>
                </c:pt>
                <c:pt idx="47">
                  <c:v>77.5844932981</c:v>
                </c:pt>
                <c:pt idx="48">
                  <c:v>77.584556477199996</c:v>
                </c:pt>
                <c:pt idx="49">
                  <c:v>77.584614492100002</c:v>
                </c:pt>
                <c:pt idx="50">
                  <c:v>77.584663947799996</c:v>
                </c:pt>
                <c:pt idx="51">
                  <c:v>77.584704583999994</c:v>
                </c:pt>
                <c:pt idx="52">
                  <c:v>77.584738351300004</c:v>
                </c:pt>
                <c:pt idx="53">
                  <c:v>77.584768247300005</c:v>
                </c:pt>
                <c:pt idx="54">
                  <c:v>77.584797242400001</c:v>
                </c:pt>
                <c:pt idx="55">
                  <c:v>77.584827519900003</c:v>
                </c:pt>
                <c:pt idx="56">
                  <c:v>77.584860118600005</c:v>
                </c:pt>
                <c:pt idx="57">
                  <c:v>77.584894954500001</c:v>
                </c:pt>
                <c:pt idx="58">
                  <c:v>77.584931109899998</c:v>
                </c:pt>
                <c:pt idx="59">
                  <c:v>77.584967252200002</c:v>
                </c:pt>
                <c:pt idx="60">
                  <c:v>77.585002045400003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E6-46C8-9B6E-85FF6AB8D9D5}"/>
            </c:ext>
          </c:extLst>
        </c:ser>
        <c:ser>
          <c:idx val="3"/>
          <c:order val="3"/>
          <c:tx>
            <c:strRef>
              <c:f>'BAV-PE'!$M$1</c:f>
              <c:strCache>
                <c:ptCount val="1"/>
                <c:pt idx="0">
                  <c:v>PE-PW SocI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'BAV-PE'!$M$2:$M$62</c:f>
              <c:numCache>
                <c:formatCode>#,##0.00\ "%"</c:formatCode>
                <c:ptCount val="61"/>
                <c:pt idx="0">
                  <c:v>69.443264229899995</c:v>
                </c:pt>
                <c:pt idx="1">
                  <c:v>71.575792665199998</c:v>
                </c:pt>
                <c:pt idx="2">
                  <c:v>73.075582586199999</c:v>
                </c:pt>
                <c:pt idx="3">
                  <c:v>73.872052139499999</c:v>
                </c:pt>
                <c:pt idx="4">
                  <c:v>73.967244769800004</c:v>
                </c:pt>
                <c:pt idx="5">
                  <c:v>73.8488585156</c:v>
                </c:pt>
                <c:pt idx="6">
                  <c:v>73.776320756299995</c:v>
                </c:pt>
                <c:pt idx="7">
                  <c:v>73.829732838799998</c:v>
                </c:pt>
                <c:pt idx="8">
                  <c:v>74.027018096099994</c:v>
                </c:pt>
                <c:pt idx="9">
                  <c:v>74.310454764499994</c:v>
                </c:pt>
                <c:pt idx="10">
                  <c:v>74.422060109900002</c:v>
                </c:pt>
                <c:pt idx="11">
                  <c:v>74.247114707899996</c:v>
                </c:pt>
                <c:pt idx="12">
                  <c:v>73.991622518400007</c:v>
                </c:pt>
                <c:pt idx="13">
                  <c:v>73.792867782599998</c:v>
                </c:pt>
                <c:pt idx="14">
                  <c:v>73.707977741600004</c:v>
                </c:pt>
                <c:pt idx="15">
                  <c:v>73.764164717900002</c:v>
                </c:pt>
                <c:pt idx="16">
                  <c:v>73.9583292258</c:v>
                </c:pt>
                <c:pt idx="17">
                  <c:v>74.197498513799999</c:v>
                </c:pt>
                <c:pt idx="18">
                  <c:v>74.244926428799999</c:v>
                </c:pt>
                <c:pt idx="19">
                  <c:v>74.084324469899997</c:v>
                </c:pt>
                <c:pt idx="20">
                  <c:v>73.891248755600003</c:v>
                </c:pt>
                <c:pt idx="21">
                  <c:v>73.759283509100001</c:v>
                </c:pt>
                <c:pt idx="22">
                  <c:v>73.735881843300007</c:v>
                </c:pt>
                <c:pt idx="23">
                  <c:v>73.840074016700001</c:v>
                </c:pt>
                <c:pt idx="24">
                  <c:v>74.054702247799995</c:v>
                </c:pt>
                <c:pt idx="25">
                  <c:v>74.234283226000002</c:v>
                </c:pt>
                <c:pt idx="26">
                  <c:v>74.192424110000005</c:v>
                </c:pt>
                <c:pt idx="27">
                  <c:v>74.013284679199998</c:v>
                </c:pt>
                <c:pt idx="28">
                  <c:v>73.838386285499993</c:v>
                </c:pt>
                <c:pt idx="29">
                  <c:v>73.737298280999994</c:v>
                </c:pt>
                <c:pt idx="30">
                  <c:v>73.749088395000001</c:v>
                </c:pt>
                <c:pt idx="31">
                  <c:v>73.884589219099993</c:v>
                </c:pt>
                <c:pt idx="32">
                  <c:v>74.107219876599999</c:v>
                </c:pt>
                <c:pt idx="33">
                  <c:v>74.234687217300007</c:v>
                </c:pt>
                <c:pt idx="34">
                  <c:v>74.141591375700003</c:v>
                </c:pt>
                <c:pt idx="35">
                  <c:v>73.958579293300005</c:v>
                </c:pt>
                <c:pt idx="36">
                  <c:v>73.801443409900003</c:v>
                </c:pt>
                <c:pt idx="37">
                  <c:v>73.729278217300006</c:v>
                </c:pt>
                <c:pt idx="38">
                  <c:v>73.774207309900007</c:v>
                </c:pt>
                <c:pt idx="39">
                  <c:v>73.939251556599999</c:v>
                </c:pt>
                <c:pt idx="40">
                  <c:v>74.158203256899995</c:v>
                </c:pt>
                <c:pt idx="41">
                  <c:v>74.227258758100007</c:v>
                </c:pt>
                <c:pt idx="42">
                  <c:v>74.095140988300003</c:v>
                </c:pt>
                <c:pt idx="43">
                  <c:v>73.912263352400004</c:v>
                </c:pt>
                <c:pt idx="44">
                  <c:v>73.773400974300003</c:v>
                </c:pt>
                <c:pt idx="45">
                  <c:v>73.730066512500002</c:v>
                </c:pt>
                <c:pt idx="46">
                  <c:v>73.807174921699996</c:v>
                </c:pt>
                <c:pt idx="47">
                  <c:v>73.998615981599997</c:v>
                </c:pt>
                <c:pt idx="48">
                  <c:v>74.198814194600004</c:v>
                </c:pt>
                <c:pt idx="49">
                  <c:v>74.206667941199996</c:v>
                </c:pt>
                <c:pt idx="50">
                  <c:v>74.047568393999995</c:v>
                </c:pt>
                <c:pt idx="51">
                  <c:v>73.869813667599999</c:v>
                </c:pt>
                <c:pt idx="52">
                  <c:v>73.752104534400004</c:v>
                </c:pt>
                <c:pt idx="53">
                  <c:v>73.739197201799996</c:v>
                </c:pt>
                <c:pt idx="54">
                  <c:v>73.848469240200004</c:v>
                </c:pt>
                <c:pt idx="55">
                  <c:v>74.060251311900004</c:v>
                </c:pt>
                <c:pt idx="56">
                  <c:v>74.225290681499999</c:v>
                </c:pt>
                <c:pt idx="57">
                  <c:v>74.174369928999994</c:v>
                </c:pt>
                <c:pt idx="58">
                  <c:v>73.999380512200005</c:v>
                </c:pt>
                <c:pt idx="59">
                  <c:v>73.831959115900005</c:v>
                </c:pt>
                <c:pt idx="60">
                  <c:v>73.738682952299996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E6-46C8-9B6E-85FF6AB8D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956816"/>
        <c:axId val="1969957232"/>
      </c:scatterChart>
      <c:valAx>
        <c:axId val="196995681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957232"/>
        <c:crosses val="autoZero"/>
        <c:crossBetween val="midCat"/>
      </c:valAx>
      <c:valAx>
        <c:axId val="196995723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95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'BAV-PE'!$N$1</c:f>
              <c:strCache>
                <c:ptCount val="1"/>
                <c:pt idx="0">
                  <c:v>BAU CPI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'BAV-PE'!$N$2:$N$62</c:f>
              <c:numCache>
                <c:formatCode>#,##0.00\ "%"</c:formatCode>
                <c:ptCount val="61"/>
                <c:pt idx="0">
                  <c:v>56.7519570722</c:v>
                </c:pt>
                <c:pt idx="1">
                  <c:v>60.275445516399998</c:v>
                </c:pt>
                <c:pt idx="2">
                  <c:v>61.244280630200002</c:v>
                </c:pt>
                <c:pt idx="3">
                  <c:v>56.581161609500001</c:v>
                </c:pt>
                <c:pt idx="4">
                  <c:v>56.421059661000001</c:v>
                </c:pt>
                <c:pt idx="5">
                  <c:v>56.956124858599999</c:v>
                </c:pt>
                <c:pt idx="6">
                  <c:v>57.3927397255</c:v>
                </c:pt>
                <c:pt idx="7">
                  <c:v>58.085323064900003</c:v>
                </c:pt>
                <c:pt idx="8">
                  <c:v>59.156130351800002</c:v>
                </c:pt>
                <c:pt idx="9">
                  <c:v>57.897529566199999</c:v>
                </c:pt>
                <c:pt idx="10">
                  <c:v>57.3411494972</c:v>
                </c:pt>
                <c:pt idx="11">
                  <c:v>57.218439003699999</c:v>
                </c:pt>
                <c:pt idx="12">
                  <c:v>57.206597907999999</c:v>
                </c:pt>
                <c:pt idx="13">
                  <c:v>57.207897314599997</c:v>
                </c:pt>
                <c:pt idx="14">
                  <c:v>57.199354690600003</c:v>
                </c:pt>
                <c:pt idx="15">
                  <c:v>57.181529179199998</c:v>
                </c:pt>
                <c:pt idx="16">
                  <c:v>57.159442909500001</c:v>
                </c:pt>
                <c:pt idx="17">
                  <c:v>57.136346719700001</c:v>
                </c:pt>
                <c:pt idx="18">
                  <c:v>57.112993166099997</c:v>
                </c:pt>
                <c:pt idx="19">
                  <c:v>57.088798870399998</c:v>
                </c:pt>
                <c:pt idx="20">
                  <c:v>57.063085139999998</c:v>
                </c:pt>
                <c:pt idx="21">
                  <c:v>57.035727750500001</c:v>
                </c:pt>
                <c:pt idx="22">
                  <c:v>57.007212184399997</c:v>
                </c:pt>
                <c:pt idx="23">
                  <c:v>56.978358622000002</c:v>
                </c:pt>
                <c:pt idx="24">
                  <c:v>56.949985422499999</c:v>
                </c:pt>
                <c:pt idx="25">
                  <c:v>56.922671094999998</c:v>
                </c:pt>
                <c:pt idx="26">
                  <c:v>56.896661219800002</c:v>
                </c:pt>
                <c:pt idx="27">
                  <c:v>56.871895578100002</c:v>
                </c:pt>
                <c:pt idx="28">
                  <c:v>56.848104183899999</c:v>
                </c:pt>
                <c:pt idx="29">
                  <c:v>56.824922942999997</c:v>
                </c:pt>
                <c:pt idx="30">
                  <c:v>56.801994059800002</c:v>
                </c:pt>
                <c:pt idx="31">
                  <c:v>56.779032985900002</c:v>
                </c:pt>
                <c:pt idx="32">
                  <c:v>56.755857918799997</c:v>
                </c:pt>
                <c:pt idx="33">
                  <c:v>56.732387785999997</c:v>
                </c:pt>
                <c:pt idx="34">
                  <c:v>56.708619812999999</c:v>
                </c:pt>
                <c:pt idx="35">
                  <c:v>56.684598643199998</c:v>
                </c:pt>
                <c:pt idx="36">
                  <c:v>56.660386744599997</c:v>
                </c:pt>
                <c:pt idx="37">
                  <c:v>56.636042100899999</c:v>
                </c:pt>
                <c:pt idx="38">
                  <c:v>56.611605378699998</c:v>
                </c:pt>
                <c:pt idx="39">
                  <c:v>56.587095860200002</c:v>
                </c:pt>
                <c:pt idx="40">
                  <c:v>56.562513765299997</c:v>
                </c:pt>
                <c:pt idx="41">
                  <c:v>56.537846085300004</c:v>
                </c:pt>
                <c:pt idx="42">
                  <c:v>56.513073356200003</c:v>
                </c:pt>
                <c:pt idx="43">
                  <c:v>56.488175550500003</c:v>
                </c:pt>
                <c:pt idx="44">
                  <c:v>56.4631361191</c:v>
                </c:pt>
                <c:pt idx="45">
                  <c:v>56.437943965700001</c:v>
                </c:pt>
                <c:pt idx="46">
                  <c:v>56.412593656200002</c:v>
                </c:pt>
                <c:pt idx="47">
                  <c:v>56.387084435600002</c:v>
                </c:pt>
                <c:pt idx="48">
                  <c:v>56.361418671999999</c:v>
                </c:pt>
                <c:pt idx="49">
                  <c:v>56.335600250399999</c:v>
                </c:pt>
                <c:pt idx="50">
                  <c:v>56.309633259500004</c:v>
                </c:pt>
                <c:pt idx="51">
                  <c:v>56.283521132799997</c:v>
                </c:pt>
                <c:pt idx="52">
                  <c:v>56.257266251200001</c:v>
                </c:pt>
                <c:pt idx="53">
                  <c:v>56.2308699182</c:v>
                </c:pt>
                <c:pt idx="54">
                  <c:v>56.204332571999998</c:v>
                </c:pt>
                <c:pt idx="55">
                  <c:v>56.177654103599998</c:v>
                </c:pt>
                <c:pt idx="56">
                  <c:v>56.150834171500001</c:v>
                </c:pt>
                <c:pt idx="57">
                  <c:v>56.123872450100002</c:v>
                </c:pt>
                <c:pt idx="58">
                  <c:v>56.096768780200001</c:v>
                </c:pt>
                <c:pt idx="59">
                  <c:v>56.069523227600001</c:v>
                </c:pt>
                <c:pt idx="60">
                  <c:v>56.042136067199998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E6-46C8-9B6E-85FF6AB8D9D5}"/>
            </c:ext>
          </c:extLst>
        </c:ser>
        <c:ser>
          <c:idx val="1"/>
          <c:order val="1"/>
          <c:tx>
            <c:strRef>
              <c:f>'BAV-PE'!$O$1</c:f>
              <c:strCache>
                <c:ptCount val="1"/>
                <c:pt idx="0">
                  <c:v>PE-P CPI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'BAV-PE'!$O$2:$O$62</c:f>
              <c:numCache>
                <c:formatCode>#,##0.00\ "%"</c:formatCode>
                <c:ptCount val="61"/>
                <c:pt idx="0">
                  <c:v>56.710953479600001</c:v>
                </c:pt>
                <c:pt idx="1">
                  <c:v>59.005029155099997</c:v>
                </c:pt>
                <c:pt idx="2">
                  <c:v>71.470397256400005</c:v>
                </c:pt>
                <c:pt idx="3">
                  <c:v>63.8751968077</c:v>
                </c:pt>
                <c:pt idx="4">
                  <c:v>58.5359719068</c:v>
                </c:pt>
                <c:pt idx="5">
                  <c:v>57.9648789632</c:v>
                </c:pt>
                <c:pt idx="6">
                  <c:v>57.919914655100001</c:v>
                </c:pt>
                <c:pt idx="7">
                  <c:v>58.139710327099998</c:v>
                </c:pt>
                <c:pt idx="8">
                  <c:v>58.657688775700002</c:v>
                </c:pt>
                <c:pt idx="9">
                  <c:v>62.8911757929</c:v>
                </c:pt>
                <c:pt idx="10">
                  <c:v>64.091115045899997</c:v>
                </c:pt>
                <c:pt idx="11">
                  <c:v>59.868532542600001</c:v>
                </c:pt>
                <c:pt idx="12">
                  <c:v>58.647039368900003</c:v>
                </c:pt>
                <c:pt idx="13">
                  <c:v>58.156536343900001</c:v>
                </c:pt>
                <c:pt idx="14">
                  <c:v>57.940500428</c:v>
                </c:pt>
                <c:pt idx="15">
                  <c:v>58.075291967699997</c:v>
                </c:pt>
                <c:pt idx="16">
                  <c:v>59.413217379499997</c:v>
                </c:pt>
                <c:pt idx="17">
                  <c:v>63.990348019700001</c:v>
                </c:pt>
                <c:pt idx="18">
                  <c:v>62.227651648399998</c:v>
                </c:pt>
                <c:pt idx="19">
                  <c:v>59.354826931600002</c:v>
                </c:pt>
                <c:pt idx="20">
                  <c:v>58.537833079199999</c:v>
                </c:pt>
                <c:pt idx="21">
                  <c:v>58.143679171899997</c:v>
                </c:pt>
                <c:pt idx="22">
                  <c:v>58.082169469299998</c:v>
                </c:pt>
                <c:pt idx="23">
                  <c:v>58.399603298800002</c:v>
                </c:pt>
                <c:pt idx="24">
                  <c:v>61.516422694799999</c:v>
                </c:pt>
                <c:pt idx="25">
                  <c:v>64.400111561000003</c:v>
                </c:pt>
                <c:pt idx="26">
                  <c:v>60.511141677200001</c:v>
                </c:pt>
                <c:pt idx="27">
                  <c:v>59.094249559799998</c:v>
                </c:pt>
                <c:pt idx="28">
                  <c:v>58.504429220200002</c:v>
                </c:pt>
                <c:pt idx="29">
                  <c:v>58.224653239200002</c:v>
                </c:pt>
                <c:pt idx="30">
                  <c:v>58.299479176200002</c:v>
                </c:pt>
                <c:pt idx="31">
                  <c:v>59.319492771599997</c:v>
                </c:pt>
                <c:pt idx="32">
                  <c:v>63.700232060499999</c:v>
                </c:pt>
                <c:pt idx="33">
                  <c:v>62.927430444800002</c:v>
                </c:pt>
                <c:pt idx="34">
                  <c:v>59.873581379500003</c:v>
                </c:pt>
                <c:pt idx="35">
                  <c:v>58.964158359700001</c:v>
                </c:pt>
                <c:pt idx="36">
                  <c:v>58.490345060899998</c:v>
                </c:pt>
                <c:pt idx="37">
                  <c:v>58.342787886099998</c:v>
                </c:pt>
                <c:pt idx="38">
                  <c:v>58.575872109400002</c:v>
                </c:pt>
                <c:pt idx="39">
                  <c:v>61.1901793177</c:v>
                </c:pt>
                <c:pt idx="40">
                  <c:v>64.688929709199996</c:v>
                </c:pt>
                <c:pt idx="41">
                  <c:v>61.086672051100003</c:v>
                </c:pt>
                <c:pt idx="42">
                  <c:v>59.530155442000002</c:v>
                </c:pt>
                <c:pt idx="43">
                  <c:v>58.868200535699998</c:v>
                </c:pt>
                <c:pt idx="44">
                  <c:v>58.5157455529</c:v>
                </c:pt>
                <c:pt idx="45">
                  <c:v>58.515828953700002</c:v>
                </c:pt>
                <c:pt idx="46">
                  <c:v>59.247256129299998</c:v>
                </c:pt>
                <c:pt idx="47">
                  <c:v>63.489915972200002</c:v>
                </c:pt>
                <c:pt idx="48">
                  <c:v>63.625939795699999</c:v>
                </c:pt>
                <c:pt idx="49">
                  <c:v>60.348249610700002</c:v>
                </c:pt>
                <c:pt idx="50">
                  <c:v>59.346975425700002</c:v>
                </c:pt>
                <c:pt idx="51">
                  <c:v>58.808573904500001</c:v>
                </c:pt>
                <c:pt idx="52">
                  <c:v>58.590766478799999</c:v>
                </c:pt>
                <c:pt idx="53">
                  <c:v>58.754498898900003</c:v>
                </c:pt>
                <c:pt idx="54">
                  <c:v>60.976700405700001</c:v>
                </c:pt>
                <c:pt idx="55">
                  <c:v>64.880604986600005</c:v>
                </c:pt>
                <c:pt idx="56">
                  <c:v>61.604174331599999</c:v>
                </c:pt>
                <c:pt idx="57">
                  <c:v>59.934341427500001</c:v>
                </c:pt>
                <c:pt idx="58">
                  <c:v>59.208638252900002</c:v>
                </c:pt>
                <c:pt idx="59">
                  <c:v>58.791998036199999</c:v>
                </c:pt>
                <c:pt idx="60">
                  <c:v>58.724797274099998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E6-46C8-9B6E-85FF6AB8D9D5}"/>
            </c:ext>
          </c:extLst>
        </c:ser>
        <c:ser>
          <c:idx val="2"/>
          <c:order val="2"/>
          <c:tx>
            <c:strRef>
              <c:f>'BAV-PE'!$P$1</c:f>
              <c:strCache>
                <c:ptCount val="1"/>
                <c:pt idx="0">
                  <c:v>PE-W CPI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'BAV-PE'!$P$2:$P$62</c:f>
              <c:numCache>
                <c:formatCode>#,##0.00\ "%"</c:formatCode>
                <c:ptCount val="61"/>
                <c:pt idx="0">
                  <c:v>64.789925742799994</c:v>
                </c:pt>
                <c:pt idx="1">
                  <c:v>66.598357342900002</c:v>
                </c:pt>
                <c:pt idx="2">
                  <c:v>65.919438701100006</c:v>
                </c:pt>
                <c:pt idx="3">
                  <c:v>61.284353162400002</c:v>
                </c:pt>
                <c:pt idx="4">
                  <c:v>61.2200775361</c:v>
                </c:pt>
                <c:pt idx="5">
                  <c:v>61.8744501965</c:v>
                </c:pt>
                <c:pt idx="6">
                  <c:v>63.365738398200001</c:v>
                </c:pt>
                <c:pt idx="7">
                  <c:v>63.933348498599997</c:v>
                </c:pt>
                <c:pt idx="8">
                  <c:v>62.203934446600002</c:v>
                </c:pt>
                <c:pt idx="9">
                  <c:v>61.777272351800001</c:v>
                </c:pt>
                <c:pt idx="10">
                  <c:v>61.916446497099997</c:v>
                </c:pt>
                <c:pt idx="11">
                  <c:v>62.119756373100003</c:v>
                </c:pt>
                <c:pt idx="12">
                  <c:v>62.2580609862</c:v>
                </c:pt>
                <c:pt idx="13">
                  <c:v>62.503443585299998</c:v>
                </c:pt>
                <c:pt idx="14">
                  <c:v>62.420898581800003</c:v>
                </c:pt>
                <c:pt idx="15">
                  <c:v>62.247837496099997</c:v>
                </c:pt>
                <c:pt idx="16">
                  <c:v>62.236162347099999</c:v>
                </c:pt>
                <c:pt idx="17">
                  <c:v>62.261317032299999</c:v>
                </c:pt>
                <c:pt idx="18">
                  <c:v>62.289688151500002</c:v>
                </c:pt>
                <c:pt idx="19">
                  <c:v>62.313175464099999</c:v>
                </c:pt>
                <c:pt idx="20">
                  <c:v>62.3320555584</c:v>
                </c:pt>
                <c:pt idx="21">
                  <c:v>62.3484114715</c:v>
                </c:pt>
                <c:pt idx="22">
                  <c:v>62.363895307500002</c:v>
                </c:pt>
                <c:pt idx="23">
                  <c:v>62.379316193000001</c:v>
                </c:pt>
                <c:pt idx="24">
                  <c:v>62.394882380799999</c:v>
                </c:pt>
                <c:pt idx="25">
                  <c:v>62.410547617399999</c:v>
                </c:pt>
                <c:pt idx="26">
                  <c:v>62.426248830500001</c:v>
                </c:pt>
                <c:pt idx="27">
                  <c:v>62.442000181899999</c:v>
                </c:pt>
                <c:pt idx="28">
                  <c:v>62.457885350300003</c:v>
                </c:pt>
                <c:pt idx="29">
                  <c:v>62.474006123499997</c:v>
                </c:pt>
                <c:pt idx="30">
                  <c:v>62.490431793200003</c:v>
                </c:pt>
                <c:pt idx="31">
                  <c:v>62.507171696900002</c:v>
                </c:pt>
                <c:pt idx="32">
                  <c:v>62.524174514199998</c:v>
                </c:pt>
                <c:pt idx="33">
                  <c:v>62.541346965999999</c:v>
                </c:pt>
                <c:pt idx="34">
                  <c:v>62.558580894400002</c:v>
                </c:pt>
                <c:pt idx="35">
                  <c:v>62.575778851800003</c:v>
                </c:pt>
                <c:pt idx="36">
                  <c:v>62.592871741499998</c:v>
                </c:pt>
                <c:pt idx="37">
                  <c:v>62.609825943099999</c:v>
                </c:pt>
                <c:pt idx="38">
                  <c:v>62.6266406692</c:v>
                </c:pt>
                <c:pt idx="39">
                  <c:v>62.643338506500001</c:v>
                </c:pt>
                <c:pt idx="40">
                  <c:v>62.659953024099998</c:v>
                </c:pt>
                <c:pt idx="41">
                  <c:v>62.676517084799997</c:v>
                </c:pt>
                <c:pt idx="42">
                  <c:v>62.693054426499998</c:v>
                </c:pt>
                <c:pt idx="43">
                  <c:v>62.709575653599998</c:v>
                </c:pt>
                <c:pt idx="44">
                  <c:v>62.726078441799999</c:v>
                </c:pt>
                <c:pt idx="45">
                  <c:v>62.742550819800002</c:v>
                </c:pt>
                <c:pt idx="46">
                  <c:v>62.758975964199998</c:v>
                </c:pt>
                <c:pt idx="47">
                  <c:v>62.7753369956</c:v>
                </c:pt>
                <c:pt idx="48">
                  <c:v>62.791620652299997</c:v>
                </c:pt>
                <c:pt idx="49">
                  <c:v>62.807819262400002</c:v>
                </c:pt>
                <c:pt idx="50">
                  <c:v>62.8239309752</c:v>
                </c:pt>
                <c:pt idx="51">
                  <c:v>62.8399586277</c:v>
                </c:pt>
                <c:pt idx="52">
                  <c:v>62.855907844900003</c:v>
                </c:pt>
                <c:pt idx="53">
                  <c:v>62.871785001299997</c:v>
                </c:pt>
                <c:pt idx="54">
                  <c:v>62.887595548900002</c:v>
                </c:pt>
                <c:pt idx="55">
                  <c:v>62.9033430028</c:v>
                </c:pt>
                <c:pt idx="56">
                  <c:v>62.919028650900003</c:v>
                </c:pt>
                <c:pt idx="57">
                  <c:v>62.9346518702</c:v>
                </c:pt>
                <c:pt idx="58">
                  <c:v>62.950210818899997</c:v>
                </c:pt>
                <c:pt idx="59">
                  <c:v>62.965703247</c:v>
                </c:pt>
                <c:pt idx="60">
                  <c:v>62.9811272038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E6-46C8-9B6E-85FF6AB8D9D5}"/>
            </c:ext>
          </c:extLst>
        </c:ser>
        <c:ser>
          <c:idx val="3"/>
          <c:order val="3"/>
          <c:tx>
            <c:strRef>
              <c:f>'BAV-PE'!$Q$1</c:f>
              <c:strCache>
                <c:ptCount val="1"/>
                <c:pt idx="0">
                  <c:v>PE-PW CPI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'BAV-PE'!$A$2:$A$62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'BAV-PE'!$Q$2:$Q$62</c:f>
              <c:numCache>
                <c:formatCode>#,##0.00\ "%"</c:formatCode>
                <c:ptCount val="61"/>
                <c:pt idx="0">
                  <c:v>61.182219198200002</c:v>
                </c:pt>
                <c:pt idx="1">
                  <c:v>62.4418375463</c:v>
                </c:pt>
                <c:pt idx="2">
                  <c:v>74.587883193899998</c:v>
                </c:pt>
                <c:pt idx="3">
                  <c:v>65.496115043399996</c:v>
                </c:pt>
                <c:pt idx="4">
                  <c:v>60.7272923676</c:v>
                </c:pt>
                <c:pt idx="5">
                  <c:v>60.539564060799997</c:v>
                </c:pt>
                <c:pt idx="6">
                  <c:v>60.803543114</c:v>
                </c:pt>
                <c:pt idx="7">
                  <c:v>61.141200382299999</c:v>
                </c:pt>
                <c:pt idx="8">
                  <c:v>62.023238945000003</c:v>
                </c:pt>
                <c:pt idx="9">
                  <c:v>65.553860639600003</c:v>
                </c:pt>
                <c:pt idx="10">
                  <c:v>64.271903175399999</c:v>
                </c:pt>
                <c:pt idx="11">
                  <c:v>61.811525374200002</c:v>
                </c:pt>
                <c:pt idx="12">
                  <c:v>61.2500361998</c:v>
                </c:pt>
                <c:pt idx="13">
                  <c:v>61.132803513900001</c:v>
                </c:pt>
                <c:pt idx="14">
                  <c:v>61.0996343451</c:v>
                </c:pt>
                <c:pt idx="15">
                  <c:v>61.2319233825</c:v>
                </c:pt>
                <c:pt idx="16">
                  <c:v>62.565476204600003</c:v>
                </c:pt>
                <c:pt idx="17">
                  <c:v>64.993585793999998</c:v>
                </c:pt>
                <c:pt idx="18">
                  <c:v>63.002288789700003</c:v>
                </c:pt>
                <c:pt idx="19">
                  <c:v>61.742857240100001</c:v>
                </c:pt>
                <c:pt idx="20">
                  <c:v>61.405642893100001</c:v>
                </c:pt>
                <c:pt idx="21">
                  <c:v>61.2692785343</c:v>
                </c:pt>
                <c:pt idx="22">
                  <c:v>61.2809951821</c:v>
                </c:pt>
                <c:pt idx="23">
                  <c:v>61.481872464299997</c:v>
                </c:pt>
                <c:pt idx="24">
                  <c:v>63.553334485000001</c:v>
                </c:pt>
                <c:pt idx="25">
                  <c:v>64.692445439799997</c:v>
                </c:pt>
                <c:pt idx="26">
                  <c:v>62.545627646699998</c:v>
                </c:pt>
                <c:pt idx="27">
                  <c:v>61.8035610457</c:v>
                </c:pt>
                <c:pt idx="28">
                  <c:v>61.5461660952</c:v>
                </c:pt>
                <c:pt idx="29">
                  <c:v>61.421460818699998</c:v>
                </c:pt>
                <c:pt idx="30">
                  <c:v>61.458368715500001</c:v>
                </c:pt>
                <c:pt idx="31">
                  <c:v>61.902880810299997</c:v>
                </c:pt>
                <c:pt idx="32">
                  <c:v>64.222747100099994</c:v>
                </c:pt>
                <c:pt idx="33">
                  <c:v>64.244101712800003</c:v>
                </c:pt>
                <c:pt idx="34">
                  <c:v>62.424464175300002</c:v>
                </c:pt>
                <c:pt idx="35">
                  <c:v>61.889857174699998</c:v>
                </c:pt>
                <c:pt idx="36">
                  <c:v>61.6538618011</c:v>
                </c:pt>
                <c:pt idx="37">
                  <c:v>61.552955653799998</c:v>
                </c:pt>
                <c:pt idx="38">
                  <c:v>61.626897680600003</c:v>
                </c:pt>
                <c:pt idx="39">
                  <c:v>62.552050374300002</c:v>
                </c:pt>
                <c:pt idx="40">
                  <c:v>64.730558391599999</c:v>
                </c:pt>
                <c:pt idx="41">
                  <c:v>63.673877719099998</c:v>
                </c:pt>
                <c:pt idx="42">
                  <c:v>62.383754769799999</c:v>
                </c:pt>
                <c:pt idx="43">
                  <c:v>61.971167234100001</c:v>
                </c:pt>
                <c:pt idx="44">
                  <c:v>61.753919471499998</c:v>
                </c:pt>
                <c:pt idx="45">
                  <c:v>61.681374590200001</c:v>
                </c:pt>
                <c:pt idx="46">
                  <c:v>61.796017699700002</c:v>
                </c:pt>
                <c:pt idx="47">
                  <c:v>63.272400772399997</c:v>
                </c:pt>
                <c:pt idx="48">
                  <c:v>64.996025678300001</c:v>
                </c:pt>
                <c:pt idx="49">
                  <c:v>63.261757951699998</c:v>
                </c:pt>
                <c:pt idx="50">
                  <c:v>62.3841087116</c:v>
                </c:pt>
                <c:pt idx="51">
                  <c:v>62.044269590399999</c:v>
                </c:pt>
                <c:pt idx="52">
                  <c:v>61.848798625800001</c:v>
                </c:pt>
                <c:pt idx="53">
                  <c:v>61.809736615699997</c:v>
                </c:pt>
                <c:pt idx="54">
                  <c:v>61.969990433299998</c:v>
                </c:pt>
                <c:pt idx="55">
                  <c:v>64.014529649799996</c:v>
                </c:pt>
                <c:pt idx="56">
                  <c:v>64.960829468300005</c:v>
                </c:pt>
                <c:pt idx="57">
                  <c:v>63.084255156099999</c:v>
                </c:pt>
                <c:pt idx="58">
                  <c:v>62.413909990299999</c:v>
                </c:pt>
                <c:pt idx="59">
                  <c:v>62.114466240600002</c:v>
                </c:pt>
                <c:pt idx="60">
                  <c:v>61.944193775700001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E6-46C8-9B6E-85FF6AB8D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956816"/>
        <c:axId val="1969957232"/>
      </c:scatterChart>
      <c:valAx>
        <c:axId val="196995681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957232"/>
        <c:crosses val="autoZero"/>
        <c:crossBetween val="midCat"/>
      </c:valAx>
      <c:valAx>
        <c:axId val="196995723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95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Environmental Index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'BAU-ES'!$B$1</c:f>
              <c:strCache>
                <c:ptCount val="1"/>
                <c:pt idx="0">
                  <c:v>Run 1: EnviI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'BAU-ES'!$B$2:$B$62</c:f>
              <c:numCache>
                <c:formatCode>#,##0.00\ "%"</c:formatCode>
                <c:ptCount val="61"/>
                <c:pt idx="0">
                  <c:v>66.340955807399993</c:v>
                </c:pt>
                <c:pt idx="1">
                  <c:v>64.487009365600002</c:v>
                </c:pt>
                <c:pt idx="2">
                  <c:v>49.2788886576</c:v>
                </c:pt>
                <c:pt idx="3">
                  <c:v>30.554864626699999</c:v>
                </c:pt>
                <c:pt idx="4">
                  <c:v>37.072055325500003</c:v>
                </c:pt>
                <c:pt idx="5">
                  <c:v>43.8228422882</c:v>
                </c:pt>
                <c:pt idx="6">
                  <c:v>47.2793285252</c:v>
                </c:pt>
                <c:pt idx="7">
                  <c:v>49.379028304599998</c:v>
                </c:pt>
                <c:pt idx="8">
                  <c:v>48.112881156199997</c:v>
                </c:pt>
                <c:pt idx="9">
                  <c:v>40.703607051100001</c:v>
                </c:pt>
                <c:pt idx="10">
                  <c:v>40.091016454299996</c:v>
                </c:pt>
                <c:pt idx="11">
                  <c:v>41.454854369400003</c:v>
                </c:pt>
                <c:pt idx="12">
                  <c:v>42.734214133400002</c:v>
                </c:pt>
                <c:pt idx="13">
                  <c:v>43.358384121900002</c:v>
                </c:pt>
                <c:pt idx="14">
                  <c:v>43.356074927800002</c:v>
                </c:pt>
                <c:pt idx="15">
                  <c:v>42.958315538199997</c:v>
                </c:pt>
                <c:pt idx="16">
                  <c:v>42.408207377899998</c:v>
                </c:pt>
                <c:pt idx="17">
                  <c:v>41.881973473099997</c:v>
                </c:pt>
                <c:pt idx="18">
                  <c:v>41.4723405258</c:v>
                </c:pt>
                <c:pt idx="19">
                  <c:v>41.202591514200002</c:v>
                </c:pt>
                <c:pt idx="20">
                  <c:v>41.051209230399998</c:v>
                </c:pt>
                <c:pt idx="21">
                  <c:v>40.975893251700001</c:v>
                </c:pt>
                <c:pt idx="22">
                  <c:v>40.931870616799998</c:v>
                </c:pt>
                <c:pt idx="23">
                  <c:v>40.883150594200004</c:v>
                </c:pt>
                <c:pt idx="24">
                  <c:v>40.8073759149</c:v>
                </c:pt>
                <c:pt idx="25">
                  <c:v>40.6958454731</c:v>
                </c:pt>
                <c:pt idx="26">
                  <c:v>40.550557942799998</c:v>
                </c:pt>
                <c:pt idx="27">
                  <c:v>40.379995991100003</c:v>
                </c:pt>
                <c:pt idx="28">
                  <c:v>40.194993193599998</c:v>
                </c:pt>
                <c:pt idx="29">
                  <c:v>40.005532983499997</c:v>
                </c:pt>
                <c:pt idx="30">
                  <c:v>39.818839924499997</c:v>
                </c:pt>
                <c:pt idx="31">
                  <c:v>39.638728174100002</c:v>
                </c:pt>
                <c:pt idx="32">
                  <c:v>39.465917764499999</c:v>
                </c:pt>
                <c:pt idx="33">
                  <c:v>39.298921404600001</c:v>
                </c:pt>
                <c:pt idx="34">
                  <c:v>39.135116570500003</c:v>
                </c:pt>
                <c:pt idx="35">
                  <c:v>38.9717072937</c:v>
                </c:pt>
                <c:pt idx="36">
                  <c:v>38.806402782900001</c:v>
                </c:pt>
                <c:pt idx="37">
                  <c:v>38.637759036699997</c:v>
                </c:pt>
                <c:pt idx="38">
                  <c:v>38.465220842299999</c:v>
                </c:pt>
                <c:pt idx="39">
                  <c:v>38.288954540900001</c:v>
                </c:pt>
                <c:pt idx="40">
                  <c:v>38.109577744500001</c:v>
                </c:pt>
                <c:pt idx="41">
                  <c:v>37.927879551300002</c:v>
                </c:pt>
                <c:pt idx="42">
                  <c:v>37.744595848700001</c:v>
                </c:pt>
                <c:pt idx="43">
                  <c:v>37.560270745899999</c:v>
                </c:pt>
                <c:pt idx="44">
                  <c:v>37.375205941700003</c:v>
                </c:pt>
                <c:pt idx="45">
                  <c:v>37.189479911900001</c:v>
                </c:pt>
                <c:pt idx="46">
                  <c:v>37.003009480700001</c:v>
                </c:pt>
                <c:pt idx="47">
                  <c:v>36.815626147899998</c:v>
                </c:pt>
                <c:pt idx="48">
                  <c:v>36.6271454918</c:v>
                </c:pt>
                <c:pt idx="49">
                  <c:v>36.437416696299998</c:v>
                </c:pt>
                <c:pt idx="50">
                  <c:v>36.246347928100001</c:v>
                </c:pt>
                <c:pt idx="51">
                  <c:v>36.053910024700002</c:v>
                </c:pt>
                <c:pt idx="52">
                  <c:v>35.860124902000003</c:v>
                </c:pt>
                <c:pt idx="53">
                  <c:v>35.665046324800002</c:v>
                </c:pt>
                <c:pt idx="54">
                  <c:v>35.468739820300001</c:v>
                </c:pt>
                <c:pt idx="55">
                  <c:v>35.271266451199999</c:v>
                </c:pt>
                <c:pt idx="56">
                  <c:v>35.072672746999999</c:v>
                </c:pt>
                <c:pt idx="57">
                  <c:v>34.872986972600003</c:v>
                </c:pt>
                <c:pt idx="58">
                  <c:v>34.6722204617</c:v>
                </c:pt>
                <c:pt idx="59">
                  <c:v>34.4703720487</c:v>
                </c:pt>
                <c:pt idx="60">
                  <c:v>34.267433605999997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B4-43C6-9EDF-C1CFD91FD502}"/>
            </c:ext>
          </c:extLst>
        </c:ser>
        <c:ser>
          <c:idx val="1"/>
          <c:order val="1"/>
          <c:tx>
            <c:strRef>
              <c:f>'BAU-ES'!$C$1</c:f>
              <c:strCache>
                <c:ptCount val="1"/>
                <c:pt idx="0">
                  <c:v>Run 2: EnviI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'BAU-ES'!$C$2:$C$62</c:f>
              <c:numCache>
                <c:formatCode>#,##0.00\ "%"</c:formatCode>
                <c:ptCount val="61"/>
                <c:pt idx="0">
                  <c:v>64.385337815200003</c:v>
                </c:pt>
                <c:pt idx="1">
                  <c:v>61.597455598899998</c:v>
                </c:pt>
                <c:pt idx="2">
                  <c:v>41.618666320199999</c:v>
                </c:pt>
                <c:pt idx="3">
                  <c:v>20.892820196100001</c:v>
                </c:pt>
                <c:pt idx="4">
                  <c:v>29.690199279800002</c:v>
                </c:pt>
                <c:pt idx="5">
                  <c:v>39.11355245</c:v>
                </c:pt>
                <c:pt idx="6">
                  <c:v>43.771227350700002</c:v>
                </c:pt>
                <c:pt idx="7">
                  <c:v>45.466392044499997</c:v>
                </c:pt>
                <c:pt idx="8">
                  <c:v>42.298517856899998</c:v>
                </c:pt>
                <c:pt idx="9">
                  <c:v>33.431786495099999</c:v>
                </c:pt>
                <c:pt idx="10">
                  <c:v>32.761711672099999</c:v>
                </c:pt>
                <c:pt idx="11">
                  <c:v>34.901531745600003</c:v>
                </c:pt>
                <c:pt idx="12">
                  <c:v>36.866458388399998</c:v>
                </c:pt>
                <c:pt idx="13">
                  <c:v>37.840790510399998</c:v>
                </c:pt>
                <c:pt idx="14">
                  <c:v>37.877520372500001</c:v>
                </c:pt>
                <c:pt idx="15">
                  <c:v>37.321971507500002</c:v>
                </c:pt>
                <c:pt idx="16">
                  <c:v>36.536179086600001</c:v>
                </c:pt>
                <c:pt idx="17">
                  <c:v>35.783901947499999</c:v>
                </c:pt>
                <c:pt idx="18">
                  <c:v>35.205635573599999</c:v>
                </c:pt>
                <c:pt idx="19">
                  <c:v>34.838411287200003</c:v>
                </c:pt>
                <c:pt idx="20">
                  <c:v>34.651617109999997</c:v>
                </c:pt>
                <c:pt idx="21">
                  <c:v>34.582495372499999</c:v>
                </c:pt>
                <c:pt idx="22">
                  <c:v>34.563637320300003</c:v>
                </c:pt>
                <c:pt idx="23">
                  <c:v>34.540195785900004</c:v>
                </c:pt>
                <c:pt idx="24">
                  <c:v>34.4775599699</c:v>
                </c:pt>
                <c:pt idx="25">
                  <c:v>34.361713034200001</c:v>
                </c:pt>
                <c:pt idx="26">
                  <c:v>34.1949900623</c:v>
                </c:pt>
                <c:pt idx="27">
                  <c:v>33.989814887500003</c:v>
                </c:pt>
                <c:pt idx="28">
                  <c:v>33.762458347500001</c:v>
                </c:pt>
                <c:pt idx="29">
                  <c:v>33.5281343093</c:v>
                </c:pt>
                <c:pt idx="30">
                  <c:v>33.298016391700003</c:v>
                </c:pt>
                <c:pt idx="31">
                  <c:v>33.078156001799996</c:v>
                </c:pt>
                <c:pt idx="32">
                  <c:v>32.8698867592</c:v>
                </c:pt>
                <c:pt idx="33">
                  <c:v>32.671124116999998</c:v>
                </c:pt>
                <c:pt idx="34">
                  <c:v>32.477976245800001</c:v>
                </c:pt>
                <c:pt idx="35">
                  <c:v>32.286211059800003</c:v>
                </c:pt>
                <c:pt idx="36">
                  <c:v>32.092307480999999</c:v>
                </c:pt>
                <c:pt idx="37">
                  <c:v>31.8939999284</c:v>
                </c:pt>
                <c:pt idx="38">
                  <c:v>31.690365677599999</c:v>
                </c:pt>
                <c:pt idx="39">
                  <c:v>31.481588075000001</c:v>
                </c:pt>
                <c:pt idx="40">
                  <c:v>31.268555362600001</c:v>
                </c:pt>
                <c:pt idx="41">
                  <c:v>31.052437836700001</c:v>
                </c:pt>
                <c:pt idx="42">
                  <c:v>30.834343394899999</c:v>
                </c:pt>
                <c:pt idx="43">
                  <c:v>30.615101056299999</c:v>
                </c:pt>
                <c:pt idx="44">
                  <c:v>30.395177439800001</c:v>
                </c:pt>
                <c:pt idx="45">
                  <c:v>30.174700317100001</c:v>
                </c:pt>
                <c:pt idx="46">
                  <c:v>29.9535484391</c:v>
                </c:pt>
                <c:pt idx="47">
                  <c:v>29.731465845399999</c:v>
                </c:pt>
                <c:pt idx="48">
                  <c:v>29.508167392200001</c:v>
                </c:pt>
                <c:pt idx="49">
                  <c:v>29.283415231399999</c:v>
                </c:pt>
                <c:pt idx="50">
                  <c:v>29.057059103699999</c:v>
                </c:pt>
                <c:pt idx="51">
                  <c:v>28.8290436391</c:v>
                </c:pt>
                <c:pt idx="52">
                  <c:v>28.599392051399999</c:v>
                </c:pt>
                <c:pt idx="53">
                  <c:v>28.368177681100001</c:v>
                </c:pt>
                <c:pt idx="54">
                  <c:v>28.135493703400002</c:v>
                </c:pt>
                <c:pt idx="55">
                  <c:v>27.9014282893</c:v>
                </c:pt>
                <c:pt idx="56">
                  <c:v>27.6660488829</c:v>
                </c:pt>
                <c:pt idx="57">
                  <c:v>27.429396034</c:v>
                </c:pt>
                <c:pt idx="58">
                  <c:v>27.1914849791</c:v>
                </c:pt>
                <c:pt idx="59">
                  <c:v>26.9523120574</c:v>
                </c:pt>
                <c:pt idx="60">
                  <c:v>26.711862956499999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B4-43C6-9EDF-C1CFD91FD502}"/>
            </c:ext>
          </c:extLst>
        </c:ser>
        <c:ser>
          <c:idx val="2"/>
          <c:order val="2"/>
          <c:tx>
            <c:strRef>
              <c:f>'BAU-ES'!$D$1</c:f>
              <c:strCache>
                <c:ptCount val="1"/>
                <c:pt idx="0">
                  <c:v>Run 3: EnviI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'BAU-ES'!$D$2:$D$62</c:f>
              <c:numCache>
                <c:formatCode>#,##0.00\ "%"</c:formatCode>
                <c:ptCount val="61"/>
                <c:pt idx="0">
                  <c:v>68.296573799499996</c:v>
                </c:pt>
                <c:pt idx="1">
                  <c:v>67.376563132399994</c:v>
                </c:pt>
                <c:pt idx="2">
                  <c:v>56.939110994899998</c:v>
                </c:pt>
                <c:pt idx="3">
                  <c:v>40.216909057300001</c:v>
                </c:pt>
                <c:pt idx="4">
                  <c:v>44.4539113712</c:v>
                </c:pt>
                <c:pt idx="5">
                  <c:v>48.532132126400001</c:v>
                </c:pt>
                <c:pt idx="6">
                  <c:v>50.787429699699999</c:v>
                </c:pt>
                <c:pt idx="7">
                  <c:v>53.291664564800001</c:v>
                </c:pt>
                <c:pt idx="8">
                  <c:v>53.927244455599997</c:v>
                </c:pt>
                <c:pt idx="9">
                  <c:v>47.975427607100002</c:v>
                </c:pt>
                <c:pt idx="10">
                  <c:v>47.420321236600003</c:v>
                </c:pt>
                <c:pt idx="11">
                  <c:v>48.008176993200003</c:v>
                </c:pt>
                <c:pt idx="12">
                  <c:v>48.601969878399998</c:v>
                </c:pt>
                <c:pt idx="13">
                  <c:v>48.875977733399999</c:v>
                </c:pt>
                <c:pt idx="14">
                  <c:v>48.834629483199997</c:v>
                </c:pt>
                <c:pt idx="15">
                  <c:v>48.594659568899999</c:v>
                </c:pt>
                <c:pt idx="16">
                  <c:v>48.280235669299998</c:v>
                </c:pt>
                <c:pt idx="17">
                  <c:v>47.980044998700002</c:v>
                </c:pt>
                <c:pt idx="18">
                  <c:v>47.739045478100003</c:v>
                </c:pt>
                <c:pt idx="19">
                  <c:v>47.566771741300002</c:v>
                </c:pt>
                <c:pt idx="20">
                  <c:v>47.450801350799999</c:v>
                </c:pt>
                <c:pt idx="21">
                  <c:v>47.369291130900002</c:v>
                </c:pt>
                <c:pt idx="22">
                  <c:v>47.300103913400001</c:v>
                </c:pt>
                <c:pt idx="23">
                  <c:v>47.226105402400002</c:v>
                </c:pt>
                <c:pt idx="24">
                  <c:v>47.1371918599</c:v>
                </c:pt>
                <c:pt idx="25">
                  <c:v>47.029977912</c:v>
                </c:pt>
                <c:pt idx="26">
                  <c:v>46.906125823300002</c:v>
                </c:pt>
                <c:pt idx="27">
                  <c:v>46.770177094700003</c:v>
                </c:pt>
                <c:pt idx="28">
                  <c:v>46.627528039700003</c:v>
                </c:pt>
                <c:pt idx="29">
                  <c:v>46.482931657800002</c:v>
                </c:pt>
                <c:pt idx="30">
                  <c:v>46.339663457299999</c:v>
                </c:pt>
                <c:pt idx="31">
                  <c:v>46.199300346299999</c:v>
                </c:pt>
                <c:pt idx="32">
                  <c:v>46.061948769700003</c:v>
                </c:pt>
                <c:pt idx="33">
                  <c:v>45.926718692199998</c:v>
                </c:pt>
                <c:pt idx="34">
                  <c:v>45.792256895100003</c:v>
                </c:pt>
                <c:pt idx="35">
                  <c:v>45.657203527599997</c:v>
                </c:pt>
                <c:pt idx="36">
                  <c:v>45.520498084899998</c:v>
                </c:pt>
                <c:pt idx="37">
                  <c:v>45.381518145000001</c:v>
                </c:pt>
                <c:pt idx="38">
                  <c:v>45.240076006999999</c:v>
                </c:pt>
                <c:pt idx="39">
                  <c:v>45.096321006899998</c:v>
                </c:pt>
                <c:pt idx="40">
                  <c:v>44.950600126399998</c:v>
                </c:pt>
                <c:pt idx="41">
                  <c:v>44.803321265900003</c:v>
                </c:pt>
                <c:pt idx="42">
                  <c:v>44.6548483025</c:v>
                </c:pt>
                <c:pt idx="43">
                  <c:v>44.505440435499999</c:v>
                </c:pt>
                <c:pt idx="44">
                  <c:v>44.355234443599997</c:v>
                </c:pt>
                <c:pt idx="45">
                  <c:v>44.204259506699998</c:v>
                </c:pt>
                <c:pt idx="46">
                  <c:v>44.052470522199997</c:v>
                </c:pt>
                <c:pt idx="47">
                  <c:v>43.899786450299999</c:v>
                </c:pt>
                <c:pt idx="48">
                  <c:v>43.746123591500002</c:v>
                </c:pt>
                <c:pt idx="49">
                  <c:v>43.591418161100002</c:v>
                </c:pt>
                <c:pt idx="50">
                  <c:v>43.435636752400001</c:v>
                </c:pt>
                <c:pt idx="51">
                  <c:v>43.278776410200003</c:v>
                </c:pt>
                <c:pt idx="52">
                  <c:v>43.120857752600003</c:v>
                </c:pt>
                <c:pt idx="53">
                  <c:v>42.961914968499997</c:v>
                </c:pt>
                <c:pt idx="54">
                  <c:v>42.801985937200001</c:v>
                </c:pt>
                <c:pt idx="55">
                  <c:v>42.641104613099998</c:v>
                </c:pt>
                <c:pt idx="56">
                  <c:v>42.479296611000002</c:v>
                </c:pt>
                <c:pt idx="57">
                  <c:v>42.3165779112</c:v>
                </c:pt>
                <c:pt idx="58">
                  <c:v>42.152955944299997</c:v>
                </c:pt>
                <c:pt idx="59">
                  <c:v>41.988432039999999</c:v>
                </c:pt>
                <c:pt idx="60">
                  <c:v>41.823004255599997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B4-43C6-9EDF-C1CFD91FD502}"/>
            </c:ext>
          </c:extLst>
        </c:ser>
        <c:ser>
          <c:idx val="3"/>
          <c:order val="3"/>
          <c:tx>
            <c:strRef>
              <c:f>'BAU-ES'!$E$1</c:f>
              <c:strCache>
                <c:ptCount val="1"/>
                <c:pt idx="0">
                  <c:v>Run 4: EnviI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'BAU-ES'!$E$2:$E$62</c:f>
              <c:numCache>
                <c:formatCode>#,##0.00\ "%"</c:formatCode>
                <c:ptCount val="61"/>
                <c:pt idx="0">
                  <c:v>65.441387823499994</c:v>
                </c:pt>
                <c:pt idx="1">
                  <c:v>63.075112370699998</c:v>
                </c:pt>
                <c:pt idx="2">
                  <c:v>45.520822134299998</c:v>
                </c:pt>
                <c:pt idx="3">
                  <c:v>25.890071912100002</c:v>
                </c:pt>
                <c:pt idx="4">
                  <c:v>33.546911023500002</c:v>
                </c:pt>
                <c:pt idx="5">
                  <c:v>41.632928424100001</c:v>
                </c:pt>
                <c:pt idx="6">
                  <c:v>45.6866307166</c:v>
                </c:pt>
                <c:pt idx="7">
                  <c:v>47.562441049900002</c:v>
                </c:pt>
                <c:pt idx="8">
                  <c:v>45.327033639600003</c:v>
                </c:pt>
                <c:pt idx="9">
                  <c:v>37.2153228759</c:v>
                </c:pt>
                <c:pt idx="10">
                  <c:v>36.575618869000003</c:v>
                </c:pt>
                <c:pt idx="11">
                  <c:v>38.330103873600002</c:v>
                </c:pt>
                <c:pt idx="12">
                  <c:v>39.954705404000002</c:v>
                </c:pt>
                <c:pt idx="13">
                  <c:v>40.755761634999999</c:v>
                </c:pt>
                <c:pt idx="14">
                  <c:v>40.774049273899998</c:v>
                </c:pt>
                <c:pt idx="15">
                  <c:v>40.297879615600003</c:v>
                </c:pt>
                <c:pt idx="16">
                  <c:v>39.630050285999999</c:v>
                </c:pt>
                <c:pt idx="17">
                  <c:v>38.9907897338</c:v>
                </c:pt>
                <c:pt idx="18">
                  <c:v>38.496898570799999</c:v>
                </c:pt>
                <c:pt idx="19">
                  <c:v>38.178649349799997</c:v>
                </c:pt>
                <c:pt idx="20">
                  <c:v>38.010017858700003</c:v>
                </c:pt>
                <c:pt idx="21">
                  <c:v>37.938456363900002</c:v>
                </c:pt>
                <c:pt idx="22">
                  <c:v>37.907819900699998</c:v>
                </c:pt>
                <c:pt idx="23">
                  <c:v>37.872623564500003</c:v>
                </c:pt>
                <c:pt idx="24">
                  <c:v>37.804323851200003</c:v>
                </c:pt>
                <c:pt idx="25">
                  <c:v>37.691519613300002</c:v>
                </c:pt>
                <c:pt idx="26">
                  <c:v>37.536356263899997</c:v>
                </c:pt>
                <c:pt idx="27">
                  <c:v>37.349284029700001</c:v>
                </c:pt>
                <c:pt idx="28">
                  <c:v>37.143864977600003</c:v>
                </c:pt>
                <c:pt idx="29">
                  <c:v>36.932713968800002</c:v>
                </c:pt>
                <c:pt idx="30">
                  <c:v>36.725046911600003</c:v>
                </c:pt>
                <c:pt idx="31">
                  <c:v>36.525810051699999</c:v>
                </c:pt>
                <c:pt idx="32">
                  <c:v>36.336038427200002</c:v>
                </c:pt>
                <c:pt idx="33">
                  <c:v>36.1539489743</c:v>
                </c:pt>
                <c:pt idx="34">
                  <c:v>35.976283125499997</c:v>
                </c:pt>
                <c:pt idx="35">
                  <c:v>35.799522895300001</c:v>
                </c:pt>
                <c:pt idx="36">
                  <c:v>35.620757510700003</c:v>
                </c:pt>
                <c:pt idx="37">
                  <c:v>35.438127784300001</c:v>
                </c:pt>
                <c:pt idx="38">
                  <c:v>35.250891581200001</c:v>
                </c:pt>
                <c:pt idx="39">
                  <c:v>35.059222066300002</c:v>
                </c:pt>
                <c:pt idx="40">
                  <c:v>34.863871823099998</c:v>
                </c:pt>
                <c:pt idx="41">
                  <c:v>34.665821147599999</c:v>
                </c:pt>
                <c:pt idx="42">
                  <c:v>34.465993007100003</c:v>
                </c:pt>
                <c:pt idx="43">
                  <c:v>34.265075102499999</c:v>
                </c:pt>
                <c:pt idx="44">
                  <c:v>34.063452503800001</c:v>
                </c:pt>
                <c:pt idx="45">
                  <c:v>33.861228880100001</c:v>
                </c:pt>
                <c:pt idx="46">
                  <c:v>33.658302186699999</c:v>
                </c:pt>
                <c:pt idx="47">
                  <c:v>33.454460060300001</c:v>
                </c:pt>
                <c:pt idx="48">
                  <c:v>33.249467403200001</c:v>
                </c:pt>
                <c:pt idx="49">
                  <c:v>33.043129506900002</c:v>
                </c:pt>
                <c:pt idx="50">
                  <c:v>32.835324982000003</c:v>
                </c:pt>
                <c:pt idx="51">
                  <c:v>32.626011309799999</c:v>
                </c:pt>
                <c:pt idx="52">
                  <c:v>32.415210912500001</c:v>
                </c:pt>
                <c:pt idx="53">
                  <c:v>32.202987299299998</c:v>
                </c:pt>
                <c:pt idx="54">
                  <c:v>31.989419849600001</c:v>
                </c:pt>
                <c:pt idx="55">
                  <c:v>31.774583246199999</c:v>
                </c:pt>
                <c:pt idx="56">
                  <c:v>31.558534549499999</c:v>
                </c:pt>
                <c:pt idx="57">
                  <c:v>31.341308227599999</c:v>
                </c:pt>
                <c:pt idx="58">
                  <c:v>31.122917602699999</c:v>
                </c:pt>
                <c:pt idx="59">
                  <c:v>30.903360273699999</c:v>
                </c:pt>
                <c:pt idx="60">
                  <c:v>30.682625012799999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B4-43C6-9EDF-C1CFD91FD502}"/>
            </c:ext>
          </c:extLst>
        </c:ser>
        <c:ser>
          <c:idx val="4"/>
          <c:order val="4"/>
          <c:tx>
            <c:strRef>
              <c:f>'BAU-ES'!$F$1</c:f>
              <c:strCache>
                <c:ptCount val="1"/>
                <c:pt idx="0">
                  <c:v>Run 5: EnviI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'BAU-ES'!$F$2:$F$62</c:f>
              <c:numCache>
                <c:formatCode>#,##0.00\ "%"</c:formatCode>
                <c:ptCount val="61"/>
                <c:pt idx="0">
                  <c:v>69.352623807800001</c:v>
                </c:pt>
                <c:pt idx="1">
                  <c:v>68.854219904199994</c:v>
                </c:pt>
                <c:pt idx="2">
                  <c:v>60.841266808999997</c:v>
                </c:pt>
                <c:pt idx="3">
                  <c:v>45.214160773300001</c:v>
                </c:pt>
                <c:pt idx="4">
                  <c:v>48.310623114899997</c:v>
                </c:pt>
                <c:pt idx="5">
                  <c:v>51.0515081004</c:v>
                </c:pt>
                <c:pt idx="6">
                  <c:v>52.702833065699998</c:v>
                </c:pt>
                <c:pt idx="7">
                  <c:v>55.387713570199999</c:v>
                </c:pt>
                <c:pt idx="8">
                  <c:v>56.955760238300002</c:v>
                </c:pt>
                <c:pt idx="9">
                  <c:v>51.758963987800001</c:v>
                </c:pt>
                <c:pt idx="10">
                  <c:v>51.2342284335</c:v>
                </c:pt>
                <c:pt idx="11">
                  <c:v>51.436749121200002</c:v>
                </c:pt>
                <c:pt idx="12">
                  <c:v>51.690216894000002</c:v>
                </c:pt>
                <c:pt idx="13">
                  <c:v>51.790948858</c:v>
                </c:pt>
                <c:pt idx="14">
                  <c:v>51.7311583846</c:v>
                </c:pt>
                <c:pt idx="15">
                  <c:v>51.570567677</c:v>
                </c:pt>
                <c:pt idx="16">
                  <c:v>51.374106868600002</c:v>
                </c:pt>
                <c:pt idx="17">
                  <c:v>51.186932785000003</c:v>
                </c:pt>
                <c:pt idx="18">
                  <c:v>51.030308475299996</c:v>
                </c:pt>
                <c:pt idx="19">
                  <c:v>50.907009803900003</c:v>
                </c:pt>
                <c:pt idx="20">
                  <c:v>50.809202099499998</c:v>
                </c:pt>
                <c:pt idx="21">
                  <c:v>50.725252122299999</c:v>
                </c:pt>
                <c:pt idx="22">
                  <c:v>50.644286493899997</c:v>
                </c:pt>
                <c:pt idx="23">
                  <c:v>50.558533181000001</c:v>
                </c:pt>
                <c:pt idx="24">
                  <c:v>50.463955741100001</c:v>
                </c:pt>
                <c:pt idx="25">
                  <c:v>50.359784491100001</c:v>
                </c:pt>
                <c:pt idx="26">
                  <c:v>50.247492024800003</c:v>
                </c:pt>
                <c:pt idx="27">
                  <c:v>50.129646236900001</c:v>
                </c:pt>
                <c:pt idx="28">
                  <c:v>50.008934669799999</c:v>
                </c:pt>
                <c:pt idx="29">
                  <c:v>49.887511317300003</c:v>
                </c:pt>
                <c:pt idx="30">
                  <c:v>49.766693977199999</c:v>
                </c:pt>
                <c:pt idx="31">
                  <c:v>49.646954396200002</c:v>
                </c:pt>
                <c:pt idx="32">
                  <c:v>49.528100437699997</c:v>
                </c:pt>
                <c:pt idx="33">
                  <c:v>49.4095435495</c:v>
                </c:pt>
                <c:pt idx="34">
                  <c:v>49.290563774799999</c:v>
                </c:pt>
                <c:pt idx="35">
                  <c:v>49.170515363100002</c:v>
                </c:pt>
                <c:pt idx="36">
                  <c:v>49.048948114600002</c:v>
                </c:pt>
                <c:pt idx="37">
                  <c:v>48.925646000999997</c:v>
                </c:pt>
                <c:pt idx="38">
                  <c:v>48.800601910600001</c:v>
                </c:pt>
                <c:pt idx="39">
                  <c:v>48.673954998200003</c:v>
                </c:pt>
                <c:pt idx="40">
                  <c:v>48.545916586899999</c:v>
                </c:pt>
                <c:pt idx="41">
                  <c:v>48.416704576800001</c:v>
                </c:pt>
                <c:pt idx="42">
                  <c:v>48.2864979147</c:v>
                </c:pt>
                <c:pt idx="43">
                  <c:v>48.155414481699999</c:v>
                </c:pt>
                <c:pt idx="44">
                  <c:v>48.023509507599996</c:v>
                </c:pt>
                <c:pt idx="45">
                  <c:v>47.890788069800003</c:v>
                </c:pt>
                <c:pt idx="46">
                  <c:v>47.757224269699996</c:v>
                </c:pt>
                <c:pt idx="47">
                  <c:v>47.622780665199997</c:v>
                </c:pt>
                <c:pt idx="48">
                  <c:v>47.487423602600003</c:v>
                </c:pt>
                <c:pt idx="49">
                  <c:v>47.351132436599997</c:v>
                </c:pt>
                <c:pt idx="50">
                  <c:v>47.213902630699998</c:v>
                </c:pt>
                <c:pt idx="51">
                  <c:v>47.0757440808</c:v>
                </c:pt>
                <c:pt idx="52">
                  <c:v>46.9366766136</c:v>
                </c:pt>
                <c:pt idx="53">
                  <c:v>46.796724586800003</c:v>
                </c:pt>
                <c:pt idx="54">
                  <c:v>46.655912083399997</c:v>
                </c:pt>
                <c:pt idx="55">
                  <c:v>46.514259569899998</c:v>
                </c:pt>
                <c:pt idx="56">
                  <c:v>46.371782277599998</c:v>
                </c:pt>
                <c:pt idx="57">
                  <c:v>46.228490104700001</c:v>
                </c:pt>
                <c:pt idx="58">
                  <c:v>46.0843885679</c:v>
                </c:pt>
                <c:pt idx="59">
                  <c:v>45.939480256300001</c:v>
                </c:pt>
                <c:pt idx="60">
                  <c:v>45.793766311900001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B4-43C6-9EDF-C1CFD91FD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918096"/>
        <c:axId val="329918512"/>
      </c:scatterChart>
      <c:valAx>
        <c:axId val="32991809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918512"/>
        <c:crosses val="autoZero"/>
        <c:crossBetween val="midCat"/>
      </c:valAx>
      <c:valAx>
        <c:axId val="32991851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91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Complex Performance Index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'BAU-ES'!$Q$1</c:f>
              <c:strCache>
                <c:ptCount val="1"/>
                <c:pt idx="0">
                  <c:v>Run 1: CPI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'BAU-ES'!$Q$2:$Q$62</c:f>
              <c:numCache>
                <c:formatCode>#,##0.00\ "%"</c:formatCode>
                <c:ptCount val="61"/>
                <c:pt idx="0">
                  <c:v>54.000318470499998</c:v>
                </c:pt>
                <c:pt idx="1">
                  <c:v>58.0336524266</c:v>
                </c:pt>
                <c:pt idx="2">
                  <c:v>55.6346404353</c:v>
                </c:pt>
                <c:pt idx="3">
                  <c:v>47.844101498900002</c:v>
                </c:pt>
                <c:pt idx="4">
                  <c:v>48.890807218100001</c:v>
                </c:pt>
                <c:pt idx="5">
                  <c:v>50.852038341399997</c:v>
                </c:pt>
                <c:pt idx="6">
                  <c:v>51.993697743399999</c:v>
                </c:pt>
                <c:pt idx="7">
                  <c:v>52.9506366954</c:v>
                </c:pt>
                <c:pt idx="8">
                  <c:v>53.428744723900003</c:v>
                </c:pt>
                <c:pt idx="9">
                  <c:v>50.825375423700002</c:v>
                </c:pt>
                <c:pt idx="10">
                  <c:v>50.202909843199997</c:v>
                </c:pt>
                <c:pt idx="11">
                  <c:v>50.428990075999998</c:v>
                </c:pt>
                <c:pt idx="12">
                  <c:v>50.722834912300002</c:v>
                </c:pt>
                <c:pt idx="13">
                  <c:v>50.868150912700003</c:v>
                </c:pt>
                <c:pt idx="14">
                  <c:v>50.856349545900002</c:v>
                </c:pt>
                <c:pt idx="15">
                  <c:v>50.745011369799997</c:v>
                </c:pt>
                <c:pt idx="16">
                  <c:v>50.596536313000001</c:v>
                </c:pt>
                <c:pt idx="17">
                  <c:v>50.454890195499999</c:v>
                </c:pt>
                <c:pt idx="18">
                  <c:v>50.341723203599997</c:v>
                </c:pt>
                <c:pt idx="19">
                  <c:v>50.261124740200003</c:v>
                </c:pt>
                <c:pt idx="20">
                  <c:v>50.206751527800002</c:v>
                </c:pt>
                <c:pt idx="21">
                  <c:v>50.168152379399999</c:v>
                </c:pt>
                <c:pt idx="22">
                  <c:v>50.135123108800002</c:v>
                </c:pt>
                <c:pt idx="23">
                  <c:v>50.100039422800002</c:v>
                </c:pt>
                <c:pt idx="24">
                  <c:v>50.058598402500003</c:v>
                </c:pt>
                <c:pt idx="25">
                  <c:v>50.009517950499998</c:v>
                </c:pt>
                <c:pt idx="26">
                  <c:v>49.953693516900003</c:v>
                </c:pt>
                <c:pt idx="27">
                  <c:v>49.893200449200002</c:v>
                </c:pt>
                <c:pt idx="28">
                  <c:v>49.830405645799999</c:v>
                </c:pt>
                <c:pt idx="29">
                  <c:v>49.767333289699998</c:v>
                </c:pt>
                <c:pt idx="30">
                  <c:v>49.705327857199997</c:v>
                </c:pt>
                <c:pt idx="31">
                  <c:v>49.644982400499998</c:v>
                </c:pt>
                <c:pt idx="32">
                  <c:v>49.586256154899999</c:v>
                </c:pt>
                <c:pt idx="33">
                  <c:v>49.528691571300001</c:v>
                </c:pt>
                <c:pt idx="34">
                  <c:v>49.471650222000001</c:v>
                </c:pt>
                <c:pt idx="35">
                  <c:v>49.414510135800001</c:v>
                </c:pt>
                <c:pt idx="36">
                  <c:v>49.356794619399999</c:v>
                </c:pt>
                <c:pt idx="37">
                  <c:v>49.298227296299999</c:v>
                </c:pt>
                <c:pt idx="38">
                  <c:v>49.238725721199998</c:v>
                </c:pt>
                <c:pt idx="39">
                  <c:v>49.178355117000002</c:v>
                </c:pt>
                <c:pt idx="40">
                  <c:v>49.117265346499998</c:v>
                </c:pt>
                <c:pt idx="41">
                  <c:v>49.055630305100003</c:v>
                </c:pt>
                <c:pt idx="42">
                  <c:v>48.9936021197</c:v>
                </c:pt>
                <c:pt idx="43">
                  <c:v>48.931285262599999</c:v>
                </c:pt>
                <c:pt idx="44">
                  <c:v>48.868729668699999</c:v>
                </c:pt>
                <c:pt idx="45">
                  <c:v>48.805938097499997</c:v>
                </c:pt>
                <c:pt idx="46">
                  <c:v>48.742881429999997</c:v>
                </c:pt>
                <c:pt idx="47">
                  <c:v>48.679515930299999</c:v>
                </c:pt>
                <c:pt idx="48">
                  <c:v>48.615798036599998</c:v>
                </c:pt>
                <c:pt idx="49">
                  <c:v>48.5516942478</c:v>
                </c:pt>
                <c:pt idx="50">
                  <c:v>48.487185544699997</c:v>
                </c:pt>
                <c:pt idx="51">
                  <c:v>48.422267168700003</c:v>
                </c:pt>
                <c:pt idx="52">
                  <c:v>48.356945328099997</c:v>
                </c:pt>
                <c:pt idx="53">
                  <c:v>48.291232558399997</c:v>
                </c:pt>
                <c:pt idx="54">
                  <c:v>48.225143193500003</c:v>
                </c:pt>
                <c:pt idx="55">
                  <c:v>48.158689901300001</c:v>
                </c:pt>
                <c:pt idx="56">
                  <c:v>48.091881692000001</c:v>
                </c:pt>
                <c:pt idx="57">
                  <c:v>48.0247233511</c:v>
                </c:pt>
                <c:pt idx="58">
                  <c:v>47.957215952200002</c:v>
                </c:pt>
                <c:pt idx="59">
                  <c:v>47.889357984199997</c:v>
                </c:pt>
                <c:pt idx="60">
                  <c:v>47.821146644199999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15-49ED-A2D5-223BA3738A87}"/>
            </c:ext>
          </c:extLst>
        </c:ser>
        <c:ser>
          <c:idx val="1"/>
          <c:order val="1"/>
          <c:tx>
            <c:strRef>
              <c:f>'BAU-ES'!$R$1</c:f>
              <c:strCache>
                <c:ptCount val="1"/>
                <c:pt idx="0">
                  <c:v>Run 2: CPI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'BAU-ES'!$R$2:$R$62</c:f>
              <c:numCache>
                <c:formatCode>#,##0.00\ "%"</c:formatCode>
                <c:ptCount val="61"/>
                <c:pt idx="0">
                  <c:v>53.340363393600001</c:v>
                </c:pt>
                <c:pt idx="1">
                  <c:v>57.058525543000002</c:v>
                </c:pt>
                <c:pt idx="2">
                  <c:v>53.049573903099997</c:v>
                </c:pt>
                <c:pt idx="3">
                  <c:v>44.583487564999999</c:v>
                </c:pt>
                <c:pt idx="4">
                  <c:v>46.3996799154</c:v>
                </c:pt>
                <c:pt idx="5">
                  <c:v>49.262811943700001</c:v>
                </c:pt>
                <c:pt idx="6">
                  <c:v>50.809831983599999</c:v>
                </c:pt>
                <c:pt idx="7">
                  <c:v>51.630253995899999</c:v>
                </c:pt>
                <c:pt idx="8">
                  <c:v>51.4665933255</c:v>
                </c:pt>
                <c:pt idx="9">
                  <c:v>48.371381385500001</c:v>
                </c:pt>
                <c:pt idx="10">
                  <c:v>47.729516818500002</c:v>
                </c:pt>
                <c:pt idx="11">
                  <c:v>48.217464843000002</c:v>
                </c:pt>
                <c:pt idx="12">
                  <c:v>48.742665365299999</c:v>
                </c:pt>
                <c:pt idx="13">
                  <c:v>49.006149268999998</c:v>
                </c:pt>
                <c:pt idx="14">
                  <c:v>49.007522266199999</c:v>
                </c:pt>
                <c:pt idx="15">
                  <c:v>48.842935466999997</c:v>
                </c:pt>
                <c:pt idx="16">
                  <c:v>48.614924925799997</c:v>
                </c:pt>
                <c:pt idx="17">
                  <c:v>48.396996844900002</c:v>
                </c:pt>
                <c:pt idx="18">
                  <c:v>48.226921762400004</c:v>
                </c:pt>
                <c:pt idx="19">
                  <c:v>48.113428683199999</c:v>
                </c:pt>
                <c:pt idx="20">
                  <c:v>48.047105151799997</c:v>
                </c:pt>
                <c:pt idx="21">
                  <c:v>48.0105963508</c:v>
                </c:pt>
                <c:pt idx="22">
                  <c:v>47.986059277599999</c:v>
                </c:pt>
                <c:pt idx="23">
                  <c:v>47.959506228400002</c:v>
                </c:pt>
                <c:pt idx="24">
                  <c:v>47.922499131000002</c:v>
                </c:pt>
                <c:pt idx="25">
                  <c:v>47.871962007999997</c:v>
                </c:pt>
                <c:pt idx="26">
                  <c:v>47.808903836200003</c:v>
                </c:pt>
                <c:pt idx="27">
                  <c:v>47.736729973800003</c:v>
                </c:pt>
                <c:pt idx="28">
                  <c:v>47.659642211600001</c:v>
                </c:pt>
                <c:pt idx="29">
                  <c:v>47.581429827500003</c:v>
                </c:pt>
                <c:pt idx="30">
                  <c:v>47.504769970600002</c:v>
                </c:pt>
                <c:pt idx="31">
                  <c:v>47.431010689499999</c:v>
                </c:pt>
                <c:pt idx="32">
                  <c:v>47.360318284400002</c:v>
                </c:pt>
                <c:pt idx="33">
                  <c:v>47.292033652500002</c:v>
                </c:pt>
                <c:pt idx="34">
                  <c:v>47.225090018400003</c:v>
                </c:pt>
                <c:pt idx="35">
                  <c:v>47.158380769799997</c:v>
                </c:pt>
                <c:pt idx="36">
                  <c:v>47.091014033100002</c:v>
                </c:pt>
                <c:pt idx="37">
                  <c:v>47.022436176399999</c:v>
                </c:pt>
                <c:pt idx="38">
                  <c:v>46.952440731599999</c:v>
                </c:pt>
                <c:pt idx="39">
                  <c:v>46.881098660399999</c:v>
                </c:pt>
                <c:pt idx="40">
                  <c:v>46.808651154000003</c:v>
                </c:pt>
                <c:pt idx="41">
                  <c:v>46.735400749299998</c:v>
                </c:pt>
                <c:pt idx="42">
                  <c:v>46.661625114300001</c:v>
                </c:pt>
                <c:pt idx="43">
                  <c:v>46.587524868400003</c:v>
                </c:pt>
                <c:pt idx="44">
                  <c:v>46.513205601700001</c:v>
                </c:pt>
                <c:pt idx="45">
                  <c:v>46.438686709300001</c:v>
                </c:pt>
                <c:pt idx="46">
                  <c:v>46.363926223999997</c:v>
                </c:pt>
                <c:pt idx="47">
                  <c:v>46.288850894699998</c:v>
                </c:pt>
                <c:pt idx="48">
                  <c:v>46.213383169499998</c:v>
                </c:pt>
                <c:pt idx="49">
                  <c:v>46.137460176799998</c:v>
                </c:pt>
                <c:pt idx="50">
                  <c:v>46.061043180699997</c:v>
                </c:pt>
                <c:pt idx="51">
                  <c:v>45.984118578500002</c:v>
                </c:pt>
                <c:pt idx="52">
                  <c:v>45.906693016299997</c:v>
                </c:pt>
                <c:pt idx="53">
                  <c:v>45.828785635800003</c:v>
                </c:pt>
                <c:pt idx="54">
                  <c:v>45.750420101300001</c:v>
                </c:pt>
                <c:pt idx="55">
                  <c:v>45.6716182288</c:v>
                </c:pt>
                <c:pt idx="56">
                  <c:v>45.592396086500003</c:v>
                </c:pt>
                <c:pt idx="57">
                  <c:v>45.512762605399999</c:v>
                </c:pt>
                <c:pt idx="58">
                  <c:v>45.432720176399997</c:v>
                </c:pt>
                <c:pt idx="59">
                  <c:v>45.3522664463</c:v>
                </c:pt>
                <c:pt idx="60">
                  <c:v>45.271396525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15-49ED-A2D5-223BA3738A87}"/>
            </c:ext>
          </c:extLst>
        </c:ser>
        <c:ser>
          <c:idx val="2"/>
          <c:order val="2"/>
          <c:tx>
            <c:strRef>
              <c:f>'BAU-ES'!$S$1</c:f>
              <c:strCache>
                <c:ptCount val="1"/>
                <c:pt idx="0">
                  <c:v>Run 3: CPI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'BAU-ES'!$S$2:$S$62</c:f>
              <c:numCache>
                <c:formatCode>#,##0.00\ "%"</c:formatCode>
                <c:ptCount val="61"/>
                <c:pt idx="0">
                  <c:v>54.660273547300001</c:v>
                </c:pt>
                <c:pt idx="1">
                  <c:v>59.008779310199998</c:v>
                </c:pt>
                <c:pt idx="2">
                  <c:v>58.219706967500002</c:v>
                </c:pt>
                <c:pt idx="3">
                  <c:v>51.104715432799999</c:v>
                </c:pt>
                <c:pt idx="4">
                  <c:v>51.381934520800002</c:v>
                </c:pt>
                <c:pt idx="5">
                  <c:v>52.441264739200001</c:v>
                </c:pt>
                <c:pt idx="6">
                  <c:v>53.177563503199998</c:v>
                </c:pt>
                <c:pt idx="7">
                  <c:v>54.271019395000003</c:v>
                </c:pt>
                <c:pt idx="8">
                  <c:v>55.390896122199997</c:v>
                </c:pt>
                <c:pt idx="9">
                  <c:v>53.279369461999998</c:v>
                </c:pt>
                <c:pt idx="10">
                  <c:v>52.676302867899999</c:v>
                </c:pt>
                <c:pt idx="11">
                  <c:v>52.640515309000001</c:v>
                </c:pt>
                <c:pt idx="12">
                  <c:v>52.703004459299997</c:v>
                </c:pt>
                <c:pt idx="13">
                  <c:v>52.7301525564</c:v>
                </c:pt>
                <c:pt idx="14">
                  <c:v>52.705176825599999</c:v>
                </c:pt>
                <c:pt idx="15">
                  <c:v>52.647087272599997</c:v>
                </c:pt>
                <c:pt idx="16">
                  <c:v>52.578147700199999</c:v>
                </c:pt>
                <c:pt idx="17">
                  <c:v>52.512783546000001</c:v>
                </c:pt>
                <c:pt idx="18">
                  <c:v>52.4565246449</c:v>
                </c:pt>
                <c:pt idx="19">
                  <c:v>52.408820797300002</c:v>
                </c:pt>
                <c:pt idx="20">
                  <c:v>52.366397903799999</c:v>
                </c:pt>
                <c:pt idx="21">
                  <c:v>52.325708408099999</c:v>
                </c:pt>
                <c:pt idx="22">
                  <c:v>52.284186939999998</c:v>
                </c:pt>
                <c:pt idx="23">
                  <c:v>52.240572617300003</c:v>
                </c:pt>
                <c:pt idx="24">
                  <c:v>52.194697673999997</c:v>
                </c:pt>
                <c:pt idx="25">
                  <c:v>52.147073892999998</c:v>
                </c:pt>
                <c:pt idx="26">
                  <c:v>52.098483197599997</c:v>
                </c:pt>
                <c:pt idx="27">
                  <c:v>52.049670924600001</c:v>
                </c:pt>
                <c:pt idx="28">
                  <c:v>52.001169079999997</c:v>
                </c:pt>
                <c:pt idx="29">
                  <c:v>51.9532367519</c:v>
                </c:pt>
                <c:pt idx="30">
                  <c:v>51.905885743699997</c:v>
                </c:pt>
                <c:pt idx="31">
                  <c:v>51.858954111499997</c:v>
                </c:pt>
                <c:pt idx="32">
                  <c:v>51.812194025399997</c:v>
                </c:pt>
                <c:pt idx="33">
                  <c:v>51.7653494901</c:v>
                </c:pt>
                <c:pt idx="34">
                  <c:v>51.718210425499997</c:v>
                </c:pt>
                <c:pt idx="35">
                  <c:v>51.670639501799997</c:v>
                </c:pt>
                <c:pt idx="36">
                  <c:v>51.622575205799997</c:v>
                </c:pt>
                <c:pt idx="37">
                  <c:v>51.5740184163</c:v>
                </c:pt>
                <c:pt idx="38">
                  <c:v>51.525010710700002</c:v>
                </c:pt>
                <c:pt idx="39">
                  <c:v>51.475611573599998</c:v>
                </c:pt>
                <c:pt idx="40">
                  <c:v>51.425879539</c:v>
                </c:pt>
                <c:pt idx="41">
                  <c:v>51.375859860799999</c:v>
                </c:pt>
                <c:pt idx="42">
                  <c:v>51.325579125200001</c:v>
                </c:pt>
                <c:pt idx="43">
                  <c:v>51.275045656800003</c:v>
                </c:pt>
                <c:pt idx="44">
                  <c:v>51.224253735600001</c:v>
                </c:pt>
                <c:pt idx="45">
                  <c:v>51.173189485599998</c:v>
                </c:pt>
                <c:pt idx="46">
                  <c:v>51.121836635999998</c:v>
                </c:pt>
                <c:pt idx="47">
                  <c:v>51.070180965799999</c:v>
                </c:pt>
                <c:pt idx="48">
                  <c:v>51.018212903799999</c:v>
                </c:pt>
                <c:pt idx="49">
                  <c:v>50.965928318800003</c:v>
                </c:pt>
                <c:pt idx="50">
                  <c:v>50.913327908699998</c:v>
                </c:pt>
                <c:pt idx="51">
                  <c:v>50.860415758999999</c:v>
                </c:pt>
                <c:pt idx="52">
                  <c:v>50.807197639999998</c:v>
                </c:pt>
                <c:pt idx="53">
                  <c:v>50.753679480999999</c:v>
                </c:pt>
                <c:pt idx="54">
                  <c:v>50.699866285600002</c:v>
                </c:pt>
                <c:pt idx="55">
                  <c:v>50.6457615737</c:v>
                </c:pt>
                <c:pt idx="56">
                  <c:v>50.591367297600002</c:v>
                </c:pt>
                <c:pt idx="57">
                  <c:v>50.536684096800002</c:v>
                </c:pt>
                <c:pt idx="58">
                  <c:v>50.481711728000001</c:v>
                </c:pt>
                <c:pt idx="59">
                  <c:v>50.4264495221</c:v>
                </c:pt>
                <c:pt idx="60">
                  <c:v>50.370896763399998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15-49ED-A2D5-223BA3738A87}"/>
            </c:ext>
          </c:extLst>
        </c:ser>
        <c:ser>
          <c:idx val="3"/>
          <c:order val="3"/>
          <c:tx>
            <c:strRef>
              <c:f>'BAU-ES'!$T$1</c:f>
              <c:strCache>
                <c:ptCount val="1"/>
                <c:pt idx="0">
                  <c:v>Run 4: CPI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'BAU-ES'!$T$2:$T$62</c:f>
              <c:numCache>
                <c:formatCode>#,##0.00\ "%"</c:formatCode>
                <c:ptCount val="61"/>
                <c:pt idx="0">
                  <c:v>53.6967446333</c:v>
                </c:pt>
                <c:pt idx="1">
                  <c:v>57.557184837599998</c:v>
                </c:pt>
                <c:pt idx="2">
                  <c:v>54.3664198058</c:v>
                </c:pt>
                <c:pt idx="3">
                  <c:v>46.269891378700002</c:v>
                </c:pt>
                <c:pt idx="4">
                  <c:v>47.7011899779</c:v>
                </c:pt>
                <c:pt idx="5">
                  <c:v>50.113016314500001</c:v>
                </c:pt>
                <c:pt idx="6">
                  <c:v>51.456215981200003</c:v>
                </c:pt>
                <c:pt idx="7">
                  <c:v>52.337599800699998</c:v>
                </c:pt>
                <c:pt idx="8">
                  <c:v>52.488615199900003</c:v>
                </c:pt>
                <c:pt idx="9">
                  <c:v>49.648197232400001</c:v>
                </c:pt>
                <c:pt idx="10">
                  <c:v>49.016581790899998</c:v>
                </c:pt>
                <c:pt idx="11">
                  <c:v>49.3744922335</c:v>
                </c:pt>
                <c:pt idx="12">
                  <c:v>49.7848445152</c:v>
                </c:pt>
                <c:pt idx="13">
                  <c:v>49.989853653099999</c:v>
                </c:pt>
                <c:pt idx="14">
                  <c:v>49.985003022400001</c:v>
                </c:pt>
                <c:pt idx="15">
                  <c:v>49.847204026699998</c:v>
                </c:pt>
                <c:pt idx="16">
                  <c:v>49.659002047900003</c:v>
                </c:pt>
                <c:pt idx="17">
                  <c:v>49.479213251200001</c:v>
                </c:pt>
                <c:pt idx="18">
                  <c:v>49.337611954899998</c:v>
                </c:pt>
                <c:pt idx="19">
                  <c:v>49.240646307600002</c:v>
                </c:pt>
                <c:pt idx="20">
                  <c:v>49.180452069799998</c:v>
                </c:pt>
                <c:pt idx="21">
                  <c:v>49.143119933000001</c:v>
                </c:pt>
                <c:pt idx="22">
                  <c:v>49.114608043600001</c:v>
                </c:pt>
                <c:pt idx="23">
                  <c:v>49.084088145400003</c:v>
                </c:pt>
                <c:pt idx="24">
                  <c:v>49.045169673899998</c:v>
                </c:pt>
                <c:pt idx="25">
                  <c:v>48.995659358700003</c:v>
                </c:pt>
                <c:pt idx="26">
                  <c:v>48.936502169400001</c:v>
                </c:pt>
                <c:pt idx="27">
                  <c:v>48.870437438499998</c:v>
                </c:pt>
                <c:pt idx="28">
                  <c:v>48.800752838199998</c:v>
                </c:pt>
                <c:pt idx="29">
                  <c:v>48.7303605695</c:v>
                </c:pt>
                <c:pt idx="30">
                  <c:v>48.661277120400001</c:v>
                </c:pt>
                <c:pt idx="31">
                  <c:v>48.594477584700002</c:v>
                </c:pt>
                <c:pt idx="32">
                  <c:v>48.530027501500001</c:v>
                </c:pt>
                <c:pt idx="33">
                  <c:v>48.467369508300003</c:v>
                </c:pt>
                <c:pt idx="34">
                  <c:v>48.405650534199999</c:v>
                </c:pt>
                <c:pt idx="35">
                  <c:v>48.344004951899997</c:v>
                </c:pt>
                <c:pt idx="36">
                  <c:v>48.281746844799997</c:v>
                </c:pt>
                <c:pt idx="37">
                  <c:v>48.218459725400002</c:v>
                </c:pt>
                <c:pt idx="38">
                  <c:v>48.153998068299998</c:v>
                </c:pt>
                <c:pt idx="39">
                  <c:v>48.088429399399999</c:v>
                </c:pt>
                <c:pt idx="40">
                  <c:v>48.021949129600003</c:v>
                </c:pt>
                <c:pt idx="41">
                  <c:v>47.954795677299998</c:v>
                </c:pt>
                <c:pt idx="42">
                  <c:v>47.887184302500003</c:v>
                </c:pt>
                <c:pt idx="43">
                  <c:v>47.819267934700001</c:v>
                </c:pt>
                <c:pt idx="44">
                  <c:v>47.751124643899999</c:v>
                </c:pt>
                <c:pt idx="45">
                  <c:v>47.682765691500002</c:v>
                </c:pt>
                <c:pt idx="46">
                  <c:v>47.614155590899998</c:v>
                </c:pt>
                <c:pt idx="47">
                  <c:v>47.545235803700002</c:v>
                </c:pt>
                <c:pt idx="48">
                  <c:v>47.475945666900003</c:v>
                </c:pt>
                <c:pt idx="49">
                  <c:v>47.406236867099999</c:v>
                </c:pt>
                <c:pt idx="50">
                  <c:v>47.336080410900003</c:v>
                </c:pt>
                <c:pt idx="51">
                  <c:v>47.265467032399997</c:v>
                </c:pt>
                <c:pt idx="52">
                  <c:v>47.194403110899998</c:v>
                </c:pt>
                <c:pt idx="53">
                  <c:v>47.122904470100003</c:v>
                </c:pt>
                <c:pt idx="54">
                  <c:v>47.0509901187</c:v>
                </c:pt>
                <c:pt idx="55">
                  <c:v>46.978677320800003</c:v>
                </c:pt>
                <c:pt idx="56">
                  <c:v>46.905978640699999</c:v>
                </c:pt>
                <c:pt idx="57">
                  <c:v>46.832900956899998</c:v>
                </c:pt>
                <c:pt idx="58">
                  <c:v>46.759446014200002</c:v>
                </c:pt>
                <c:pt idx="59">
                  <c:v>46.685611884700002</c:v>
                </c:pt>
                <c:pt idx="60">
                  <c:v>46.6113947192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15-49ED-A2D5-223BA3738A87}"/>
            </c:ext>
          </c:extLst>
        </c:ser>
        <c:ser>
          <c:idx val="4"/>
          <c:order val="4"/>
          <c:tx>
            <c:strRef>
              <c:f>'BAU-ES'!$U$1</c:f>
              <c:strCache>
                <c:ptCount val="1"/>
                <c:pt idx="0">
                  <c:v>Run 5: CPI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'BAU-ES'!$A$2:$A$62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'BAU-ES'!$U$2:$U$62</c:f>
              <c:numCache>
                <c:formatCode>#,##0.00\ "%"</c:formatCode>
                <c:ptCount val="61"/>
                <c:pt idx="0">
                  <c:v>55.016654787</c:v>
                </c:pt>
                <c:pt idx="1">
                  <c:v>59.507438604699999</c:v>
                </c:pt>
                <c:pt idx="2">
                  <c:v>59.536552870199998</c:v>
                </c:pt>
                <c:pt idx="3">
                  <c:v>52.791119246599997</c:v>
                </c:pt>
                <c:pt idx="4">
                  <c:v>52.683444583300002</c:v>
                </c:pt>
                <c:pt idx="5">
                  <c:v>53.291469110000001</c:v>
                </c:pt>
                <c:pt idx="6">
                  <c:v>53.823947500800003</c:v>
                </c:pt>
                <c:pt idx="7">
                  <c:v>54.978365199700001</c:v>
                </c:pt>
                <c:pt idx="8">
                  <c:v>56.412917996700003</c:v>
                </c:pt>
                <c:pt idx="9">
                  <c:v>54.556185308899998</c:v>
                </c:pt>
                <c:pt idx="10">
                  <c:v>53.963367840300002</c:v>
                </c:pt>
                <c:pt idx="11">
                  <c:v>53.797542699499999</c:v>
                </c:pt>
                <c:pt idx="12">
                  <c:v>53.745183609100003</c:v>
                </c:pt>
                <c:pt idx="13">
                  <c:v>53.713856940500001</c:v>
                </c:pt>
                <c:pt idx="14">
                  <c:v>53.682657581800001</c:v>
                </c:pt>
                <c:pt idx="15">
                  <c:v>53.651355832199997</c:v>
                </c:pt>
                <c:pt idx="16">
                  <c:v>53.622224822299998</c:v>
                </c:pt>
                <c:pt idx="17">
                  <c:v>53.5949999523</c:v>
                </c:pt>
                <c:pt idx="18">
                  <c:v>53.567214837400002</c:v>
                </c:pt>
                <c:pt idx="19">
                  <c:v>53.536038421599997</c:v>
                </c:pt>
                <c:pt idx="20">
                  <c:v>53.4997448218</c:v>
                </c:pt>
                <c:pt idx="21">
                  <c:v>53.4582319903</c:v>
                </c:pt>
                <c:pt idx="22">
                  <c:v>53.412735706100001</c:v>
                </c:pt>
                <c:pt idx="23">
                  <c:v>53.365154534399998</c:v>
                </c:pt>
                <c:pt idx="24">
                  <c:v>53.3173682169</c:v>
                </c:pt>
                <c:pt idx="25">
                  <c:v>53.270771243699997</c:v>
                </c:pt>
                <c:pt idx="26">
                  <c:v>53.226081530800002</c:v>
                </c:pt>
                <c:pt idx="27">
                  <c:v>53.183378389300003</c:v>
                </c:pt>
                <c:pt idx="28">
                  <c:v>53.1422797066</c:v>
                </c:pt>
                <c:pt idx="29">
                  <c:v>53.102167493899998</c:v>
                </c:pt>
                <c:pt idx="30">
                  <c:v>53.062392893400002</c:v>
                </c:pt>
                <c:pt idx="31">
                  <c:v>53.022421006599998</c:v>
                </c:pt>
                <c:pt idx="32">
                  <c:v>52.981903242400001</c:v>
                </c:pt>
                <c:pt idx="33">
                  <c:v>52.940685345799999</c:v>
                </c:pt>
                <c:pt idx="34">
                  <c:v>52.8987709413</c:v>
                </c:pt>
                <c:pt idx="35">
                  <c:v>52.856263683900004</c:v>
                </c:pt>
                <c:pt idx="36">
                  <c:v>52.813308017499999</c:v>
                </c:pt>
                <c:pt idx="37">
                  <c:v>52.770041965300003</c:v>
                </c:pt>
                <c:pt idx="38">
                  <c:v>52.726568047500002</c:v>
                </c:pt>
                <c:pt idx="39">
                  <c:v>52.682942312599998</c:v>
                </c:pt>
                <c:pt idx="40">
                  <c:v>52.6391775146</c:v>
                </c:pt>
                <c:pt idx="41">
                  <c:v>52.595254788699997</c:v>
                </c:pt>
                <c:pt idx="42">
                  <c:v>52.551138313400003</c:v>
                </c:pt>
                <c:pt idx="43">
                  <c:v>52.506788723100001</c:v>
                </c:pt>
                <c:pt idx="44">
                  <c:v>52.462172777799999</c:v>
                </c:pt>
                <c:pt idx="45">
                  <c:v>52.417268467699998</c:v>
                </c:pt>
                <c:pt idx="46">
                  <c:v>52.372066002899999</c:v>
                </c:pt>
                <c:pt idx="47">
                  <c:v>52.326565874899998</c:v>
                </c:pt>
                <c:pt idx="48">
                  <c:v>52.280775401200003</c:v>
                </c:pt>
                <c:pt idx="49">
                  <c:v>52.234705009099997</c:v>
                </c:pt>
                <c:pt idx="50">
                  <c:v>52.188365138800002</c:v>
                </c:pt>
                <c:pt idx="51">
                  <c:v>52.141764213000002</c:v>
                </c:pt>
                <c:pt idx="52">
                  <c:v>52.0949077346</c:v>
                </c:pt>
                <c:pt idx="53">
                  <c:v>52.047798315199998</c:v>
                </c:pt>
                <c:pt idx="54">
                  <c:v>52.000436303000001</c:v>
                </c:pt>
                <c:pt idx="55">
                  <c:v>51.952820665700003</c:v>
                </c:pt>
                <c:pt idx="56">
                  <c:v>51.904949851799998</c:v>
                </c:pt>
                <c:pt idx="57">
                  <c:v>51.856822448300001</c:v>
                </c:pt>
                <c:pt idx="58">
                  <c:v>51.808437565799998</c:v>
                </c:pt>
                <c:pt idx="59">
                  <c:v>51.759794960599997</c:v>
                </c:pt>
                <c:pt idx="60">
                  <c:v>51.710894957599997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15-49ED-A2D5-223BA3738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918096"/>
        <c:axId val="329918512"/>
      </c:scatterChart>
      <c:valAx>
        <c:axId val="32991809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918512"/>
        <c:crosses val="autoZero"/>
        <c:crossBetween val="midCat"/>
      </c:valAx>
      <c:valAx>
        <c:axId val="32991851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91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Environmental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EnvI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cat>
            <c:strRef>
              <c:f>Summary!$C$2:$C$11</c:f>
              <c:strCache>
                <c:ptCount val="10"/>
                <c:pt idx="0">
                  <c:v>BAU</c:v>
                </c:pt>
                <c:pt idx="1">
                  <c:v>BAU-P</c:v>
                </c:pt>
                <c:pt idx="2">
                  <c:v>BAU-W</c:v>
                </c:pt>
                <c:pt idx="3">
                  <c:v>BAU-PW</c:v>
                </c:pt>
                <c:pt idx="4">
                  <c:v>OP-P</c:v>
                </c:pt>
                <c:pt idx="5">
                  <c:v>OP-W</c:v>
                </c:pt>
                <c:pt idx="6">
                  <c:v>OP-PW</c:v>
                </c:pt>
                <c:pt idx="7">
                  <c:v>PE-P</c:v>
                </c:pt>
                <c:pt idx="8">
                  <c:v>PE-W</c:v>
                </c:pt>
                <c:pt idx="9">
                  <c:v>PE-PW</c:v>
                </c:pt>
              </c:strCache>
            </c:strRef>
          </c:cat>
          <c:val>
            <c:numRef>
              <c:f>Summary!$D$2:$D$11</c:f>
              <c:numCache>
                <c:formatCode>_-* #,##0.000_-;\-* #,##0.000_-;_-* "-"??_-;_-@_-</c:formatCode>
                <c:ptCount val="10"/>
                <c:pt idx="0">
                  <c:v>0.58628356634099998</c:v>
                </c:pt>
                <c:pt idx="1">
                  <c:v>0.57540369356300003</c:v>
                </c:pt>
                <c:pt idx="2">
                  <c:v>0.60587232805400004</c:v>
                </c:pt>
                <c:pt idx="3">
                  <c:v>0.59675671602800007</c:v>
                </c:pt>
                <c:pt idx="4">
                  <c:v>0.58747679901500005</c:v>
                </c:pt>
                <c:pt idx="5">
                  <c:v>0.562155244695</c:v>
                </c:pt>
                <c:pt idx="6">
                  <c:v>0.52201398477600003</c:v>
                </c:pt>
                <c:pt idx="7">
                  <c:v>0.65126032450299998</c:v>
                </c:pt>
                <c:pt idx="8">
                  <c:v>0.667460953124</c:v>
                </c:pt>
                <c:pt idx="9">
                  <c:v>0.6533450749719999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E-45AF-B3A9-E54F2BD9B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15352"/>
        <c:axId val="538614960"/>
      </c:radarChart>
      <c:catAx>
        <c:axId val="53861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614960"/>
        <c:crosses val="autoZero"/>
        <c:auto val="1"/>
        <c:lblAlgn val="ctr"/>
        <c:lblOffset val="100"/>
        <c:noMultiLvlLbl val="0"/>
      </c:catAx>
      <c:valAx>
        <c:axId val="538614960"/>
        <c:scaling>
          <c:orientation val="minMax"/>
          <c:max val="0.8"/>
          <c:min val="0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  <a:prstDash val="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61535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Social Index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SocI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</c:marker>
          <c:cat>
            <c:strRef>
              <c:f>Summary!$C$2:$C$11</c:f>
              <c:strCache>
                <c:ptCount val="10"/>
                <c:pt idx="0">
                  <c:v>BAU</c:v>
                </c:pt>
                <c:pt idx="1">
                  <c:v>BAU-P</c:v>
                </c:pt>
                <c:pt idx="2">
                  <c:v>BAU-W</c:v>
                </c:pt>
                <c:pt idx="3">
                  <c:v>BAU-PW</c:v>
                </c:pt>
                <c:pt idx="4">
                  <c:v>OP-P</c:v>
                </c:pt>
                <c:pt idx="5">
                  <c:v>OP-W</c:v>
                </c:pt>
                <c:pt idx="6">
                  <c:v>OP-PW</c:v>
                </c:pt>
                <c:pt idx="7">
                  <c:v>PE-P</c:v>
                </c:pt>
                <c:pt idx="8">
                  <c:v>PE-W</c:v>
                </c:pt>
                <c:pt idx="9">
                  <c:v>PE-PW</c:v>
                </c:pt>
              </c:strCache>
            </c:strRef>
          </c:cat>
          <c:val>
            <c:numRef>
              <c:f>Summary!$F$2:$F$11</c:f>
              <c:numCache>
                <c:formatCode>_-* #,##0.000_-;\-* #,##0.000_-;_-* "-"??_-;_-@_-</c:formatCode>
                <c:ptCount val="10"/>
                <c:pt idx="0">
                  <c:v>0.69039566020900001</c:v>
                </c:pt>
                <c:pt idx="1">
                  <c:v>0.69704492613000002</c:v>
                </c:pt>
                <c:pt idx="2">
                  <c:v>0.77500297888199998</c:v>
                </c:pt>
                <c:pt idx="3">
                  <c:v>0.73497740323900007</c:v>
                </c:pt>
                <c:pt idx="4">
                  <c:v>0.68772698595899995</c:v>
                </c:pt>
                <c:pt idx="5">
                  <c:v>0.774577404099</c:v>
                </c:pt>
                <c:pt idx="6">
                  <c:v>0.73553778964799998</c:v>
                </c:pt>
                <c:pt idx="7">
                  <c:v>0.69000451698499998</c:v>
                </c:pt>
                <c:pt idx="8">
                  <c:v>0.77585002045399998</c:v>
                </c:pt>
                <c:pt idx="9">
                  <c:v>0.73738682952299994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A-44F7-B02C-C33B13BA8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13000"/>
        <c:axId val="538614568"/>
      </c:radarChart>
      <c:catAx>
        <c:axId val="538613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614568"/>
        <c:crosses val="autoZero"/>
        <c:auto val="1"/>
        <c:lblAlgn val="ctr"/>
        <c:lblOffset val="100"/>
        <c:noMultiLvlLbl val="0"/>
      </c:catAx>
      <c:valAx>
        <c:axId val="53861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  <a:prstDash val="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613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Complex</a:t>
            </a:r>
            <a:r>
              <a:rPr lang="en-US" sz="1050" baseline="0"/>
              <a:t> performance index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CPI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cat>
            <c:strRef>
              <c:f>Summary!$C$2:$C$11</c:f>
              <c:strCache>
                <c:ptCount val="10"/>
                <c:pt idx="0">
                  <c:v>BAU</c:v>
                </c:pt>
                <c:pt idx="1">
                  <c:v>BAU-P</c:v>
                </c:pt>
                <c:pt idx="2">
                  <c:v>BAU-W</c:v>
                </c:pt>
                <c:pt idx="3">
                  <c:v>BAU-PW</c:v>
                </c:pt>
                <c:pt idx="4">
                  <c:v>OP-P</c:v>
                </c:pt>
                <c:pt idx="5">
                  <c:v>OP-W</c:v>
                </c:pt>
                <c:pt idx="6">
                  <c:v>OP-PW</c:v>
                </c:pt>
                <c:pt idx="7">
                  <c:v>PE-P</c:v>
                </c:pt>
                <c:pt idx="8">
                  <c:v>PE-W</c:v>
                </c:pt>
                <c:pt idx="9">
                  <c:v>PE-PW</c:v>
                </c:pt>
              </c:strCache>
            </c:strRef>
          </c:cat>
          <c:val>
            <c:numRef>
              <c:f>Summary!$G$2:$G$11</c:f>
              <c:numCache>
                <c:formatCode>_-* #,##0.000_-;\-* #,##0.000_-;_-* "-"??_-;_-@_-</c:formatCode>
                <c:ptCount val="10"/>
                <c:pt idx="0">
                  <c:v>0.56042136067199999</c:v>
                </c:pt>
                <c:pt idx="1">
                  <c:v>0.58211606812600003</c:v>
                </c:pt>
                <c:pt idx="2">
                  <c:v>0.60884472649099997</c:v>
                </c:pt>
                <c:pt idx="3">
                  <c:v>0.60055449140399997</c:v>
                </c:pt>
                <c:pt idx="4">
                  <c:v>0.56927191984399994</c:v>
                </c:pt>
                <c:pt idx="5">
                  <c:v>0.594184211786</c:v>
                </c:pt>
                <c:pt idx="6">
                  <c:v>0.58320974772800005</c:v>
                </c:pt>
                <c:pt idx="7">
                  <c:v>0.58724797274099994</c:v>
                </c:pt>
                <c:pt idx="8">
                  <c:v>0.62981127203800003</c:v>
                </c:pt>
                <c:pt idx="9">
                  <c:v>0.61944193775699996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9-46DE-AA18-DA2EBCF0E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13392"/>
        <c:axId val="538613784"/>
      </c:radarChart>
      <c:catAx>
        <c:axId val="53861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613784"/>
        <c:crosses val="autoZero"/>
        <c:auto val="1"/>
        <c:lblAlgn val="ctr"/>
        <c:lblOffset val="100"/>
        <c:noMultiLvlLbl val="0"/>
      </c:catAx>
      <c:valAx>
        <c:axId val="538613784"/>
        <c:scaling>
          <c:orientation val="minMax"/>
          <c:max val="0.70000000000000007"/>
          <c:min val="0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  <a:prstDash val="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61339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Economic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EcoI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rgbClr val="C00000"/>
                </a:solidFill>
              </a:ln>
              <a:effectLst/>
            </c:spPr>
          </c:marker>
          <c:cat>
            <c:strRef>
              <c:f>Summary!$C$2:$C$11</c:f>
              <c:strCache>
                <c:ptCount val="10"/>
                <c:pt idx="0">
                  <c:v>BAU</c:v>
                </c:pt>
                <c:pt idx="1">
                  <c:v>BAU-P</c:v>
                </c:pt>
                <c:pt idx="2">
                  <c:v>BAU-W</c:v>
                </c:pt>
                <c:pt idx="3">
                  <c:v>BAU-PW</c:v>
                </c:pt>
                <c:pt idx="4">
                  <c:v>OP-P</c:v>
                </c:pt>
                <c:pt idx="5">
                  <c:v>OP-W</c:v>
                </c:pt>
                <c:pt idx="6">
                  <c:v>OP-PW</c:v>
                </c:pt>
                <c:pt idx="7">
                  <c:v>PE-P</c:v>
                </c:pt>
                <c:pt idx="8">
                  <c:v>PE-W</c:v>
                </c:pt>
                <c:pt idx="9">
                  <c:v>PE-PW</c:v>
                </c:pt>
              </c:strCache>
            </c:strRef>
          </c:cat>
          <c:val>
            <c:numRef>
              <c:f>Summary!$E$2:$E$11</c:f>
              <c:numCache>
                <c:formatCode>_-* #,##0.000_-;\-* #,##0.000_-;_-* "-"??_-;_-@_-</c:formatCode>
                <c:ptCount val="10"/>
                <c:pt idx="0">
                  <c:v>9.4233087698899987E-2</c:v>
                </c:pt>
                <c:pt idx="1">
                  <c:v>0.23264244405100001</c:v>
                </c:pt>
                <c:pt idx="2">
                  <c:v>8.9313013059399995E-2</c:v>
                </c:pt>
                <c:pt idx="3">
                  <c:v>0.183205736412</c:v>
                </c:pt>
                <c:pt idx="4">
                  <c:v>0.15578183493299999</c:v>
                </c:pt>
                <c:pt idx="5">
                  <c:v>9.1241434059300006E-2</c:v>
                </c:pt>
                <c:pt idx="6">
                  <c:v>0.23095582497199998</c:v>
                </c:pt>
                <c:pt idx="7">
                  <c:v>0.12626689953799999</c:v>
                </c:pt>
                <c:pt idx="8">
                  <c:v>8.7779360071700008E-2</c:v>
                </c:pt>
                <c:pt idx="9">
                  <c:v>0.17426555929100002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F-4227-B899-259DCE7F4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33712"/>
        <c:axId val="536134104"/>
      </c:radarChart>
      <c:catAx>
        <c:axId val="53613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6134104"/>
        <c:crosses val="autoZero"/>
        <c:auto val="1"/>
        <c:lblAlgn val="ctr"/>
        <c:lblOffset val="100"/>
        <c:noMultiLvlLbl val="0"/>
      </c:catAx>
      <c:valAx>
        <c:axId val="536134104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  <a:prstDash val="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613371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48B010-F4A5-4D39-8B6D-0AC408A04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16</xdr:row>
      <xdr:rowOff>0</xdr:rowOff>
    </xdr:from>
    <xdr:to>
      <xdr:col>21</xdr:col>
      <xdr:colOff>0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FDE953-5C27-5002-5005-C1FBCC113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28</xdr:col>
      <xdr:colOff>0</xdr:colOff>
      <xdr:row>16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C88271-BCD8-3A11-58C4-F7C5531DB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16</xdr:row>
      <xdr:rowOff>0</xdr:rowOff>
    </xdr:from>
    <xdr:to>
      <xdr:col>28</xdr:col>
      <xdr:colOff>0</xdr:colOff>
      <xdr:row>31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AF15EAF-55B6-495D-7300-232F8E2ED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24</xdr:col>
      <xdr:colOff>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712B73-6CC6-730B-75A6-7E6CB5A73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30</xdr:col>
      <xdr:colOff>0</xdr:colOff>
      <xdr:row>15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EEE596-4565-B2EB-3DDF-261043562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24</xdr:col>
      <xdr:colOff>0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0A3934-3565-4F9B-44F8-7E7ECE468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15</xdr:row>
      <xdr:rowOff>0</xdr:rowOff>
    </xdr:from>
    <xdr:to>
      <xdr:col>30</xdr:col>
      <xdr:colOff>0</xdr:colOff>
      <xdr:row>30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6B7A0D8-9083-E49C-46CD-1FACD2907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06D772-C08C-8056-D179-36B40D996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0</xdr:row>
      <xdr:rowOff>0</xdr:rowOff>
    </xdr:from>
    <xdr:to>
      <xdr:col>32</xdr:col>
      <xdr:colOff>0</xdr:colOff>
      <xdr:row>15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04CD07-96DE-65C8-CE4C-EBB235624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E61A37-E4A3-AE9E-4B1C-7DDB1FB50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15</xdr:row>
      <xdr:rowOff>0</xdr:rowOff>
    </xdr:from>
    <xdr:to>
      <xdr:col>32</xdr:col>
      <xdr:colOff>0</xdr:colOff>
      <xdr:row>30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632B40F-6CD2-86AA-375A-11060C08A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25</xdr:col>
      <xdr:colOff>0</xdr:colOff>
      <xdr:row>15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EFB7A0-5892-D656-0ED2-2EEFF636D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0</xdr:row>
      <xdr:rowOff>0</xdr:rowOff>
    </xdr:from>
    <xdr:to>
      <xdr:col>32</xdr:col>
      <xdr:colOff>0</xdr:colOff>
      <xdr:row>15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8DC1E7-AD02-4C08-9A46-96BEB1F5C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25</xdr:col>
      <xdr:colOff>0</xdr:colOff>
      <xdr:row>30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F14C551-FB39-BA6E-3791-2ED181F65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15</xdr:row>
      <xdr:rowOff>0</xdr:rowOff>
    </xdr:from>
    <xdr:to>
      <xdr:col>32</xdr:col>
      <xdr:colOff>0</xdr:colOff>
      <xdr:row>30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2862425-EDFA-809D-D196-03AD7422F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</xdr:row>
      <xdr:rowOff>0</xdr:rowOff>
    </xdr:from>
    <xdr:to>
      <xdr:col>29</xdr:col>
      <xdr:colOff>761999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FE3D47-47D5-F88B-0047-03C29ACD9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</xdr:colOff>
      <xdr:row>17</xdr:row>
      <xdr:rowOff>0</xdr:rowOff>
    </xdr:from>
    <xdr:to>
      <xdr:col>30</xdr:col>
      <xdr:colOff>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203E99-04AC-4851-818B-6474CD930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AF6A7-3EE4-4C7F-901C-7316D3F99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828674</xdr:colOff>
      <xdr:row>1</xdr:row>
      <xdr:rowOff>0</xdr:rowOff>
    </xdr:from>
    <xdr:to>
      <xdr:col>15</xdr:col>
      <xdr:colOff>895349</xdr:colOff>
      <xdr:row>15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6223B2-8122-44EC-9A5A-7295B5681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0805EB-236D-43BC-A601-FCDA24CD2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C897CB-04C9-4549-B22F-53E69F136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TRABAJOS/Modelo%20Sostenibilidad%20Universidad%20Militar/Informaci&#243;n%20modelado/Scenarios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U"/>
      <sheetName val="BAI-PM"/>
      <sheetName val="BAI-IMM"/>
      <sheetName val="BAV-OP"/>
      <sheetName val="BAV-PE"/>
      <sheetName val="Summary"/>
    </sheetNames>
    <sheetDataSet>
      <sheetData sheetId="0">
        <row r="3">
          <cell r="H3" t="str">
            <v>EnvI</v>
          </cell>
          <cell r="K3" t="str">
            <v>CPI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181A-F222-4C44-86C1-F35F90A9F81E}">
  <dimension ref="A1:M125"/>
  <sheetViews>
    <sheetView tabSelected="1" zoomScale="85" zoomScaleNormal="85" workbookViewId="0">
      <pane ySplit="1" topLeftCell="A2" activePane="bottomLeft" state="frozen"/>
      <selection pane="bottomLeft" activeCell="D6" sqref="D6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40</v>
      </c>
      <c r="C1" s="1" t="s">
        <v>42</v>
      </c>
      <c r="D1" s="1" t="s">
        <v>41</v>
      </c>
      <c r="E1" s="1" t="s">
        <v>43</v>
      </c>
      <c r="F1" t="s">
        <v>45</v>
      </c>
      <c r="G1" t="s">
        <v>44</v>
      </c>
      <c r="H1" t="s">
        <v>46</v>
      </c>
      <c r="I1" t="s">
        <v>48</v>
      </c>
      <c r="J1" t="s">
        <v>47</v>
      </c>
      <c r="K1" t="s">
        <v>49</v>
      </c>
      <c r="L1" t="s">
        <v>51</v>
      </c>
      <c r="M1" t="s">
        <v>50</v>
      </c>
    </row>
    <row r="2" spans="1:13" x14ac:dyDescent="0.25">
      <c r="A2" s="1">
        <v>0</v>
      </c>
      <c r="B2" s="6">
        <v>74.494774371899993</v>
      </c>
      <c r="C2" s="6">
        <v>74.514177134899995</v>
      </c>
      <c r="D2" s="6">
        <v>74.484846636599997</v>
      </c>
      <c r="E2" s="6">
        <v>5.3268111360699999</v>
      </c>
      <c r="F2" s="7">
        <v>5.2207879311400003</v>
      </c>
      <c r="G2" s="7">
        <v>5.3812266713600003</v>
      </c>
      <c r="H2" s="7">
        <v>61.108540746000003</v>
      </c>
      <c r="I2" s="7">
        <v>61.117133497499999</v>
      </c>
      <c r="J2" s="7">
        <v>61.104197171599999</v>
      </c>
      <c r="K2" s="7">
        <v>56.7519570722</v>
      </c>
      <c r="L2" s="7">
        <v>56.745964262400001</v>
      </c>
      <c r="M2" s="7">
        <v>56.755076671499999</v>
      </c>
    </row>
    <row r="3" spans="1:13" x14ac:dyDescent="0.25">
      <c r="A3" s="1">
        <v>1</v>
      </c>
      <c r="B3" s="6">
        <v>71.1300234964</v>
      </c>
      <c r="C3" s="6">
        <v>70.572174731800004</v>
      </c>
      <c r="D3" s="6">
        <v>71.413093458099993</v>
      </c>
      <c r="E3" s="6">
        <v>22.021274960500001</v>
      </c>
      <c r="F3" s="7">
        <v>21.843973679800001</v>
      </c>
      <c r="G3" s="7">
        <v>22.1121728669</v>
      </c>
      <c r="H3" s="7">
        <v>65.087398777999994</v>
      </c>
      <c r="I3" s="7">
        <v>65.0959547195</v>
      </c>
      <c r="J3" s="7">
        <v>65.082893761199998</v>
      </c>
      <c r="K3" s="7">
        <v>60.275445516399998</v>
      </c>
      <c r="L3" s="7">
        <v>60.063292056500003</v>
      </c>
      <c r="M3" s="7">
        <v>60.383164437600001</v>
      </c>
    </row>
    <row r="4" spans="1:13" x14ac:dyDescent="0.25">
      <c r="A4" s="1">
        <v>2</v>
      </c>
      <c r="B4" s="6">
        <v>65.901706906200005</v>
      </c>
      <c r="C4" s="6">
        <v>66.791613549000004</v>
      </c>
      <c r="D4" s="6">
        <v>65.468801768000006</v>
      </c>
      <c r="E4" s="6">
        <v>31.540819007700001</v>
      </c>
      <c r="F4" s="7">
        <v>31.988734609800002</v>
      </c>
      <c r="G4" s="7">
        <v>31.306267203899999</v>
      </c>
      <c r="H4" s="7">
        <v>67.508311168500001</v>
      </c>
      <c r="I4" s="7">
        <v>67.557895475099997</v>
      </c>
      <c r="J4" s="7">
        <v>67.482420877799996</v>
      </c>
      <c r="K4" s="7">
        <v>61.244280630200002</v>
      </c>
      <c r="L4" s="7">
        <v>61.640813539600003</v>
      </c>
      <c r="M4" s="7">
        <v>61.0478418366</v>
      </c>
    </row>
    <row r="5" spans="1:13" x14ac:dyDescent="0.25">
      <c r="A5" s="1">
        <v>3</v>
      </c>
      <c r="B5" s="6">
        <v>56.445038898</v>
      </c>
      <c r="C5" s="6">
        <v>56.4496242568</v>
      </c>
      <c r="D5" s="6">
        <v>56.427692371100001</v>
      </c>
      <c r="E5" s="6">
        <v>19.693233239200001</v>
      </c>
      <c r="F5" s="7">
        <v>20.4186940441</v>
      </c>
      <c r="G5" s="7">
        <v>19.338718977599999</v>
      </c>
      <c r="H5" s="7">
        <v>68.328551517700006</v>
      </c>
      <c r="I5" s="7">
        <v>68.422168557000006</v>
      </c>
      <c r="J5" s="7">
        <v>68.280321058699997</v>
      </c>
      <c r="K5" s="7">
        <v>56.581161609500001</v>
      </c>
      <c r="L5" s="7">
        <v>56.745249752600003</v>
      </c>
      <c r="M5" s="7">
        <v>56.494628554800002</v>
      </c>
    </row>
    <row r="6" spans="1:13" x14ac:dyDescent="0.25">
      <c r="A6" s="1">
        <v>4</v>
      </c>
      <c r="B6" s="6">
        <v>59.386145601599999</v>
      </c>
      <c r="C6" s="6">
        <v>59.458033797399999</v>
      </c>
      <c r="D6" s="6">
        <v>59.335473351899999</v>
      </c>
      <c r="E6" s="6">
        <v>11.8402886685</v>
      </c>
      <c r="F6" s="7">
        <v>12.151516719</v>
      </c>
      <c r="G6" s="7">
        <v>11.6842208812</v>
      </c>
      <c r="H6" s="7">
        <v>68.520531676900006</v>
      </c>
      <c r="I6" s="7">
        <v>68.627940751599994</v>
      </c>
      <c r="J6" s="7">
        <v>68.464223845099994</v>
      </c>
      <c r="K6" s="7">
        <v>56.421059661000001</v>
      </c>
      <c r="L6" s="7">
        <v>56.548905994400002</v>
      </c>
      <c r="M6" s="7">
        <v>56.350783426100001</v>
      </c>
    </row>
    <row r="7" spans="1:13" x14ac:dyDescent="0.25">
      <c r="A7" s="1">
        <v>5</v>
      </c>
      <c r="B7" s="6">
        <v>61.910833179599997</v>
      </c>
      <c r="C7" s="6">
        <v>62.089938066599998</v>
      </c>
      <c r="D7" s="6">
        <v>61.809644001800002</v>
      </c>
      <c r="E7" s="6">
        <v>9.2288441023699992</v>
      </c>
      <c r="F7" s="7">
        <v>9.1104290287000005</v>
      </c>
      <c r="G7" s="7">
        <v>9.27280141564</v>
      </c>
      <c r="H7" s="7">
        <v>68.716196973799995</v>
      </c>
      <c r="I7" s="7">
        <v>68.838495086899997</v>
      </c>
      <c r="J7" s="7">
        <v>68.651164752</v>
      </c>
      <c r="K7" s="7">
        <v>56.956124858599999</v>
      </c>
      <c r="L7" s="7">
        <v>57.059299702200001</v>
      </c>
      <c r="M7" s="7">
        <v>56.8962293855</v>
      </c>
    </row>
    <row r="8" spans="1:13" x14ac:dyDescent="0.25">
      <c r="A8" s="1">
        <v>6</v>
      </c>
      <c r="B8" s="6">
        <v>63.27808967</v>
      </c>
      <c r="C8" s="6">
        <v>63.669643735800001</v>
      </c>
      <c r="D8" s="6">
        <v>63.068767284400003</v>
      </c>
      <c r="E8" s="6">
        <v>8.1419025253800008</v>
      </c>
      <c r="F8" s="7">
        <v>7.6984811717700001</v>
      </c>
      <c r="G8" s="7">
        <v>8.3556455721200003</v>
      </c>
      <c r="H8" s="7">
        <v>69.010421140199995</v>
      </c>
      <c r="I8" s="7">
        <v>69.170718933000003</v>
      </c>
      <c r="J8" s="7">
        <v>68.925731366600004</v>
      </c>
      <c r="K8" s="7">
        <v>57.3927397255</v>
      </c>
      <c r="L8" s="7">
        <v>57.535036594399998</v>
      </c>
      <c r="M8" s="7">
        <v>57.313466565399999</v>
      </c>
    </row>
    <row r="9" spans="1:13" x14ac:dyDescent="0.25">
      <c r="A9" s="1">
        <v>7</v>
      </c>
      <c r="B9" s="6">
        <v>64.594435232400002</v>
      </c>
      <c r="C9" s="6">
        <v>66.110612062900003</v>
      </c>
      <c r="D9" s="6">
        <v>63.729121818599999</v>
      </c>
      <c r="E9" s="6">
        <v>8.5348525527899994</v>
      </c>
      <c r="F9" s="7">
        <v>9.1404071189699998</v>
      </c>
      <c r="G9" s="7">
        <v>8.5169042312599998</v>
      </c>
      <c r="H9" s="7">
        <v>69.379572323999994</v>
      </c>
      <c r="I9" s="7">
        <v>69.611310957499995</v>
      </c>
      <c r="J9" s="7">
        <v>69.257973172899995</v>
      </c>
      <c r="K9" s="7">
        <v>58.085323064900003</v>
      </c>
      <c r="L9" s="7">
        <v>58.8099844125</v>
      </c>
      <c r="M9" s="7">
        <v>57.729234646099997</v>
      </c>
    </row>
    <row r="10" spans="1:13" x14ac:dyDescent="0.25">
      <c r="A10" s="1">
        <v>8</v>
      </c>
      <c r="B10" s="6">
        <v>65.084609649699999</v>
      </c>
      <c r="C10" s="6">
        <v>66.002454999600005</v>
      </c>
      <c r="D10" s="6">
        <v>64.461193792700001</v>
      </c>
      <c r="E10" s="6">
        <v>13.158723329500001</v>
      </c>
      <c r="F10" s="7">
        <v>14.8708269294</v>
      </c>
      <c r="G10" s="7">
        <v>12.171520753599999</v>
      </c>
      <c r="H10" s="7">
        <v>69.716856656100006</v>
      </c>
      <c r="I10" s="7">
        <v>69.991042500199995</v>
      </c>
      <c r="J10" s="7">
        <v>69.563803635900001</v>
      </c>
      <c r="K10" s="7">
        <v>59.156130351800002</v>
      </c>
      <c r="L10" s="7">
        <v>59.876279397700003</v>
      </c>
      <c r="M10" s="7">
        <v>58.711645822999998</v>
      </c>
    </row>
    <row r="11" spans="1:13" x14ac:dyDescent="0.25">
      <c r="A11" s="1">
        <v>9</v>
      </c>
      <c r="B11" s="6">
        <v>61.6602332967</v>
      </c>
      <c r="C11" s="6">
        <v>61.844027816199997</v>
      </c>
      <c r="D11" s="6">
        <v>61.569657481500002</v>
      </c>
      <c r="E11" s="6">
        <v>12.3211746507</v>
      </c>
      <c r="F11" s="7">
        <v>12.5726101564</v>
      </c>
      <c r="G11" s="7">
        <v>12.0497746136</v>
      </c>
      <c r="H11" s="7">
        <v>69.776944775800004</v>
      </c>
      <c r="I11" s="7">
        <v>70.010435161800004</v>
      </c>
      <c r="J11" s="7">
        <v>69.643188487399996</v>
      </c>
      <c r="K11" s="7">
        <v>57.897529566199999</v>
      </c>
      <c r="L11" s="7">
        <v>58.117104057399999</v>
      </c>
      <c r="M11" s="7">
        <v>57.756448299600002</v>
      </c>
    </row>
    <row r="12" spans="1:13" x14ac:dyDescent="0.25">
      <c r="A12" s="1">
        <v>10</v>
      </c>
      <c r="B12" s="6">
        <v>61.243471204099997</v>
      </c>
      <c r="C12" s="6">
        <v>61.722292693900002</v>
      </c>
      <c r="D12" s="6">
        <v>61.013921142299999</v>
      </c>
      <c r="E12" s="6">
        <v>10.2255608352</v>
      </c>
      <c r="F12" s="7">
        <v>9.9888290883399993</v>
      </c>
      <c r="G12" s="7">
        <v>10.320726690500001</v>
      </c>
      <c r="H12" s="7">
        <v>69.6133572034</v>
      </c>
      <c r="I12" s="7">
        <v>69.806237622699996</v>
      </c>
      <c r="J12" s="7">
        <v>69.508473777399999</v>
      </c>
      <c r="K12" s="7">
        <v>57.3411494972</v>
      </c>
      <c r="L12" s="7">
        <v>57.562180917100001</v>
      </c>
      <c r="M12" s="7">
        <v>57.226019946900003</v>
      </c>
    </row>
    <row r="13" spans="1:13" x14ac:dyDescent="0.25">
      <c r="A13" s="1">
        <v>11</v>
      </c>
      <c r="B13" s="6">
        <v>61.573751769600001</v>
      </c>
      <c r="C13" s="6">
        <v>62.331202190299997</v>
      </c>
      <c r="D13" s="6">
        <v>61.172242403600002</v>
      </c>
      <c r="E13" s="6">
        <v>9.3825826203799991</v>
      </c>
      <c r="F13" s="7">
        <v>9.0961276762299992</v>
      </c>
      <c r="G13" s="7">
        <v>9.5466998412299997</v>
      </c>
      <c r="H13" s="7">
        <v>69.414599266099998</v>
      </c>
      <c r="I13" s="7">
        <v>69.606333841099996</v>
      </c>
      <c r="J13" s="7">
        <v>69.318035783400006</v>
      </c>
      <c r="K13" s="7">
        <v>57.218439003699999</v>
      </c>
      <c r="L13" s="7">
        <v>57.525011240399998</v>
      </c>
      <c r="M13" s="7">
        <v>57.060436729199999</v>
      </c>
    </row>
    <row r="14" spans="1:13" x14ac:dyDescent="0.25">
      <c r="A14" s="1">
        <v>12</v>
      </c>
      <c r="B14" s="6">
        <v>61.947284865299999</v>
      </c>
      <c r="C14" s="6">
        <v>62.865886464799999</v>
      </c>
      <c r="D14" s="6">
        <v>61.4355617728</v>
      </c>
      <c r="E14" s="6">
        <v>9.0116934828899993</v>
      </c>
      <c r="F14" s="7">
        <v>8.8362610659000005</v>
      </c>
      <c r="G14" s="7">
        <v>9.1327361818800004</v>
      </c>
      <c r="H14" s="7">
        <v>69.257893729200006</v>
      </c>
      <c r="I14" s="7">
        <v>69.484649383100006</v>
      </c>
      <c r="J14" s="7">
        <v>69.147423474299998</v>
      </c>
      <c r="K14" s="7">
        <v>57.206597907999999</v>
      </c>
      <c r="L14" s="7">
        <v>57.602846497199998</v>
      </c>
      <c r="M14" s="7">
        <v>56.997548389400002</v>
      </c>
    </row>
    <row r="15" spans="1:13" x14ac:dyDescent="0.25">
      <c r="A15" s="1">
        <v>13</v>
      </c>
      <c r="B15" s="6">
        <v>62.1446963486</v>
      </c>
      <c r="C15" s="6">
        <v>63.128615549700001</v>
      </c>
      <c r="D15" s="6">
        <v>61.5846518432</v>
      </c>
      <c r="E15" s="6">
        <v>8.8980440674099999</v>
      </c>
      <c r="F15" s="7">
        <v>8.8835523851199998</v>
      </c>
      <c r="G15" s="7">
        <v>8.9354493478699997</v>
      </c>
      <c r="H15" s="7">
        <v>69.164060130099998</v>
      </c>
      <c r="I15" s="7">
        <v>69.446503905300005</v>
      </c>
      <c r="J15" s="7">
        <v>69.025373975600004</v>
      </c>
      <c r="K15" s="7">
        <v>57.207897314599997</v>
      </c>
      <c r="L15" s="7">
        <v>57.679827666100003</v>
      </c>
      <c r="M15" s="7">
        <v>56.955030282000003</v>
      </c>
    </row>
    <row r="16" spans="1:13" x14ac:dyDescent="0.25">
      <c r="A16" s="1">
        <v>14</v>
      </c>
      <c r="B16" s="6">
        <v>62.152043654499998</v>
      </c>
      <c r="C16" s="6">
        <v>63.157049648099999</v>
      </c>
      <c r="D16" s="6">
        <v>61.575868476499998</v>
      </c>
      <c r="E16" s="6">
        <v>8.9440724635100004</v>
      </c>
      <c r="F16" s="7">
        <v>8.9813435290699992</v>
      </c>
      <c r="G16" s="7">
        <v>8.8949611222399998</v>
      </c>
      <c r="H16" s="7">
        <v>69.127622569600007</v>
      </c>
      <c r="I16" s="7">
        <v>69.470739819499997</v>
      </c>
      <c r="J16" s="7">
        <v>68.955957331899995</v>
      </c>
      <c r="K16" s="7">
        <v>57.199354690600003</v>
      </c>
      <c r="L16" s="7">
        <v>57.717181792700003</v>
      </c>
      <c r="M16" s="7">
        <v>56.910677374300001</v>
      </c>
    </row>
    <row r="17" spans="1:13" x14ac:dyDescent="0.25">
      <c r="A17" s="1">
        <v>15</v>
      </c>
      <c r="B17" s="6">
        <v>62.031386534399999</v>
      </c>
      <c r="C17" s="6">
        <v>63.109848311199997</v>
      </c>
      <c r="D17" s="6">
        <v>61.442061492800001</v>
      </c>
      <c r="E17" s="6">
        <v>9.0762331280699993</v>
      </c>
      <c r="F17" s="7">
        <v>9.1058112719200004</v>
      </c>
      <c r="G17" s="7">
        <v>8.9584418358400004</v>
      </c>
      <c r="H17" s="7">
        <v>69.131332047900003</v>
      </c>
      <c r="I17" s="7">
        <v>69.533249307800006</v>
      </c>
      <c r="J17" s="7">
        <v>68.929484502799994</v>
      </c>
      <c r="K17" s="7">
        <v>57.181529179199998</v>
      </c>
      <c r="L17" s="7">
        <v>57.752524152500001</v>
      </c>
      <c r="M17" s="7">
        <v>56.862293067700001</v>
      </c>
    </row>
    <row r="18" spans="1:13" x14ac:dyDescent="0.25">
      <c r="A18" s="1">
        <v>16</v>
      </c>
      <c r="B18" s="6">
        <v>61.855801117600002</v>
      </c>
      <c r="C18" s="6">
        <v>63.260705038499999</v>
      </c>
      <c r="D18" s="6">
        <v>61.238535088600003</v>
      </c>
      <c r="E18" s="6">
        <v>9.2340931919500004</v>
      </c>
      <c r="F18" s="7">
        <v>9.4698662292400009</v>
      </c>
      <c r="G18" s="7">
        <v>9.0742190931300009</v>
      </c>
      <c r="H18" s="7">
        <v>69.155276563499996</v>
      </c>
      <c r="I18" s="7">
        <v>69.612897048700006</v>
      </c>
      <c r="J18" s="7">
        <v>68.930413919100005</v>
      </c>
      <c r="K18" s="7">
        <v>57.159442909500001</v>
      </c>
      <c r="L18" s="7">
        <v>57.901447186799999</v>
      </c>
      <c r="M18" s="7">
        <v>56.812496008799997</v>
      </c>
    </row>
    <row r="19" spans="1:13" x14ac:dyDescent="0.25">
      <c r="A19" s="1">
        <v>17</v>
      </c>
      <c r="B19" s="6">
        <v>61.680861383699998</v>
      </c>
      <c r="C19" s="6">
        <v>63.063947461300003</v>
      </c>
      <c r="D19" s="6">
        <v>61.015065598</v>
      </c>
      <c r="E19" s="6">
        <v>9.3739411611999994</v>
      </c>
      <c r="F19" s="7">
        <v>10.1560274147</v>
      </c>
      <c r="G19" s="7">
        <v>9.19877466296</v>
      </c>
      <c r="H19" s="7">
        <v>69.182473880000003</v>
      </c>
      <c r="I19" s="7">
        <v>69.677566297599995</v>
      </c>
      <c r="J19" s="7">
        <v>68.943114808600001</v>
      </c>
      <c r="K19" s="7">
        <v>57.136346719700001</v>
      </c>
      <c r="L19" s="7">
        <v>57.976763184399999</v>
      </c>
      <c r="M19" s="7">
        <v>56.763291665200001</v>
      </c>
    </row>
    <row r="20" spans="1:13" x14ac:dyDescent="0.25">
      <c r="A20" s="1">
        <v>18</v>
      </c>
      <c r="B20" s="6">
        <v>61.537368939099998</v>
      </c>
      <c r="C20" s="6">
        <v>62.792315896799998</v>
      </c>
      <c r="D20" s="6">
        <v>60.804858470500001</v>
      </c>
      <c r="E20" s="6">
        <v>9.4710784205700005</v>
      </c>
      <c r="F20" s="7">
        <v>9.9217075670000003</v>
      </c>
      <c r="G20" s="7">
        <v>9.3022217483599992</v>
      </c>
      <c r="H20" s="7">
        <v>69.201576706599994</v>
      </c>
      <c r="I20" s="7">
        <v>69.692012295500007</v>
      </c>
      <c r="J20" s="7">
        <v>68.955375042399993</v>
      </c>
      <c r="K20" s="7">
        <v>57.112993166099997</v>
      </c>
      <c r="L20" s="7">
        <v>57.855092970599998</v>
      </c>
      <c r="M20" s="7">
        <v>56.714983049499999</v>
      </c>
    </row>
    <row r="21" spans="1:13" x14ac:dyDescent="0.25">
      <c r="A21" s="1">
        <v>19</v>
      </c>
      <c r="B21" s="6">
        <v>61.4347600997</v>
      </c>
      <c r="C21" s="6">
        <v>62.835828825100002</v>
      </c>
      <c r="D21" s="6">
        <v>60.623539813900003</v>
      </c>
      <c r="E21" s="6">
        <v>9.5183623928600003</v>
      </c>
      <c r="F21" s="7">
        <v>9.7697564078300001</v>
      </c>
      <c r="G21" s="7">
        <v>9.3697242010099995</v>
      </c>
      <c r="H21" s="7">
        <v>69.207358013800004</v>
      </c>
      <c r="I21" s="7">
        <v>69.674775110400006</v>
      </c>
      <c r="J21" s="7">
        <v>68.959847521300006</v>
      </c>
      <c r="K21" s="7">
        <v>57.088798870399998</v>
      </c>
      <c r="L21" s="7">
        <v>57.836926048400002</v>
      </c>
      <c r="M21" s="7">
        <v>56.666784356100003</v>
      </c>
    </row>
    <row r="22" spans="1:13" x14ac:dyDescent="0.25">
      <c r="A22" s="1">
        <v>20</v>
      </c>
      <c r="B22" s="6">
        <v>61.368303291399997</v>
      </c>
      <c r="C22" s="6">
        <v>62.952408488099998</v>
      </c>
      <c r="D22" s="6">
        <v>60.472983167499997</v>
      </c>
      <c r="E22" s="6">
        <v>9.5218674628599995</v>
      </c>
      <c r="F22" s="7">
        <v>9.6628861596700002</v>
      </c>
      <c r="G22" s="7">
        <v>9.3994972678799993</v>
      </c>
      <c r="H22" s="7">
        <v>69.199721895400003</v>
      </c>
      <c r="I22" s="7">
        <v>69.6457980582</v>
      </c>
      <c r="J22" s="7">
        <v>68.953925171999998</v>
      </c>
      <c r="K22" s="7">
        <v>57.063085139999998</v>
      </c>
      <c r="L22" s="7">
        <v>57.844677907300003</v>
      </c>
      <c r="M22" s="7">
        <v>56.617731385299997</v>
      </c>
    </row>
    <row r="23" spans="1:13" x14ac:dyDescent="0.25">
      <c r="A23" s="1">
        <v>21</v>
      </c>
      <c r="B23" s="6">
        <v>61.326299558700001</v>
      </c>
      <c r="C23" s="6">
        <v>63.077139405399997</v>
      </c>
      <c r="D23" s="6">
        <v>60.346587220799996</v>
      </c>
      <c r="E23" s="6">
        <v>9.4952262154400007</v>
      </c>
      <c r="F23" s="7">
        <v>9.5764847949299998</v>
      </c>
      <c r="G23" s="7">
        <v>9.3987829190400003</v>
      </c>
      <c r="H23" s="7">
        <v>69.181955772199998</v>
      </c>
      <c r="I23" s="7">
        <v>69.616166373900001</v>
      </c>
      <c r="J23" s="7">
        <v>68.938639693699997</v>
      </c>
      <c r="K23" s="7">
        <v>57.035727750500001</v>
      </c>
      <c r="L23" s="7">
        <v>57.858107238700001</v>
      </c>
      <c r="M23" s="7">
        <v>56.567267908399998</v>
      </c>
    </row>
    <row r="24" spans="1:13" x14ac:dyDescent="0.25">
      <c r="A24" s="1">
        <v>22</v>
      </c>
      <c r="B24" s="6">
        <v>61.295652200500001</v>
      </c>
      <c r="C24" s="6">
        <v>63.184330347299998</v>
      </c>
      <c r="D24" s="6">
        <v>60.234149415700003</v>
      </c>
      <c r="E24" s="6">
        <v>9.4541618067800002</v>
      </c>
      <c r="F24" s="7">
        <v>9.5128160723100006</v>
      </c>
      <c r="G24" s="7">
        <v>9.3792275578699993</v>
      </c>
      <c r="H24" s="7">
        <v>69.158834447900006</v>
      </c>
      <c r="I24" s="7">
        <v>69.592340779200001</v>
      </c>
      <c r="J24" s="7">
        <v>68.917149925399997</v>
      </c>
      <c r="K24" s="7">
        <v>57.007212184399997</v>
      </c>
      <c r="L24" s="7">
        <v>57.872156896</v>
      </c>
      <c r="M24" s="7">
        <v>56.515393980299997</v>
      </c>
    </row>
    <row r="25" spans="1:13" x14ac:dyDescent="0.25">
      <c r="A25" s="1">
        <v>23</v>
      </c>
      <c r="B25" s="6">
        <v>61.2653936492</v>
      </c>
      <c r="C25" s="6">
        <v>63.268200999100003</v>
      </c>
      <c r="D25" s="6">
        <v>60.125519199800003</v>
      </c>
      <c r="E25" s="6">
        <v>9.4123231599199997</v>
      </c>
      <c r="F25" s="7">
        <v>9.4740739715300002</v>
      </c>
      <c r="G25" s="7">
        <v>9.3528212361200005</v>
      </c>
      <c r="H25" s="7">
        <v>69.1350257924</v>
      </c>
      <c r="I25" s="7">
        <v>69.577228948400005</v>
      </c>
      <c r="J25" s="7">
        <v>68.893277375899999</v>
      </c>
      <c r="K25" s="7">
        <v>56.978358622000002</v>
      </c>
      <c r="L25" s="7">
        <v>57.886689112699997</v>
      </c>
      <c r="M25" s="7">
        <v>56.462515495799998</v>
      </c>
    </row>
    <row r="26" spans="1:13" x14ac:dyDescent="0.25">
      <c r="A26" s="1">
        <v>24</v>
      </c>
      <c r="B26" s="6">
        <v>61.228342310999999</v>
      </c>
      <c r="C26" s="6">
        <v>63.332598760000003</v>
      </c>
      <c r="D26" s="6">
        <v>60.012821547100003</v>
      </c>
      <c r="E26" s="6">
        <v>9.3789484699999992</v>
      </c>
      <c r="F26" s="7">
        <v>9.4574894400199998</v>
      </c>
      <c r="G26" s="7">
        <v>9.3291106664099992</v>
      </c>
      <c r="H26" s="7">
        <v>69.114050028700007</v>
      </c>
      <c r="I26" s="7">
        <v>69.570935426999995</v>
      </c>
      <c r="J26" s="7">
        <v>68.870391333699999</v>
      </c>
      <c r="K26" s="7">
        <v>56.949985422499999</v>
      </c>
      <c r="L26" s="7">
        <v>57.902614377399999</v>
      </c>
      <c r="M26" s="7">
        <v>56.409189896699999</v>
      </c>
    </row>
    <row r="27" spans="1:13" x14ac:dyDescent="0.25">
      <c r="A27" s="1">
        <v>25</v>
      </c>
      <c r="B27" s="6">
        <v>61.181310539099997</v>
      </c>
      <c r="C27" s="6">
        <v>63.384835058599997</v>
      </c>
      <c r="D27" s="6">
        <v>59.8913724688</v>
      </c>
      <c r="E27" s="6">
        <v>9.3583003311299997</v>
      </c>
      <c r="F27" s="7">
        <v>9.4565306787499992</v>
      </c>
      <c r="G27" s="7">
        <v>9.3138983961499999</v>
      </c>
      <c r="H27" s="7">
        <v>69.097846022699997</v>
      </c>
      <c r="I27" s="7">
        <v>69.571699580800001</v>
      </c>
      <c r="J27" s="7">
        <v>68.850775319099995</v>
      </c>
      <c r="K27" s="7">
        <v>56.922671094999998</v>
      </c>
      <c r="L27" s="7">
        <v>57.920474554800002</v>
      </c>
      <c r="M27" s="7">
        <v>56.355909225300003</v>
      </c>
    </row>
    <row r="28" spans="1:13" x14ac:dyDescent="0.25">
      <c r="A28" s="1">
        <v>26</v>
      </c>
      <c r="B28" s="6">
        <v>61.124371275000001</v>
      </c>
      <c r="C28" s="6">
        <v>63.432164751400002</v>
      </c>
      <c r="D28" s="6">
        <v>59.759585346500003</v>
      </c>
      <c r="E28" s="6">
        <v>9.3504109352900002</v>
      </c>
      <c r="F28" s="7">
        <v>9.4633657633400006</v>
      </c>
      <c r="G28" s="7">
        <v>9.3092273496600004</v>
      </c>
      <c r="H28" s="7">
        <v>69.086842504000003</v>
      </c>
      <c r="I28" s="7">
        <v>69.576892049199998</v>
      </c>
      <c r="J28" s="7">
        <v>68.835456555199997</v>
      </c>
      <c r="K28" s="7">
        <v>56.896661219800002</v>
      </c>
      <c r="L28" s="7">
        <v>57.9401482285</v>
      </c>
      <c r="M28" s="7">
        <v>56.302980203300002</v>
      </c>
    </row>
    <row r="29" spans="1:13" x14ac:dyDescent="0.25">
      <c r="A29" s="1">
        <v>27</v>
      </c>
      <c r="B29" s="6">
        <v>61.0596789493</v>
      </c>
      <c r="C29" s="6">
        <v>63.480093938099998</v>
      </c>
      <c r="D29" s="6">
        <v>59.618244225300003</v>
      </c>
      <c r="E29" s="6">
        <v>9.3525192150999992</v>
      </c>
      <c r="F29" s="7">
        <v>9.4709772888499995</v>
      </c>
      <c r="G29" s="7">
        <v>9.3142147939599997</v>
      </c>
      <c r="H29" s="7">
        <v>69.080348192900004</v>
      </c>
      <c r="I29" s="7">
        <v>69.583862794699996</v>
      </c>
      <c r="J29" s="7">
        <v>68.824379971400006</v>
      </c>
      <c r="K29" s="7">
        <v>56.871895578100002</v>
      </c>
      <c r="L29" s="7">
        <v>57.961043003599997</v>
      </c>
      <c r="M29" s="7">
        <v>56.250499265400002</v>
      </c>
    </row>
    <row r="30" spans="1:13" x14ac:dyDescent="0.25">
      <c r="A30" s="1">
        <v>28</v>
      </c>
      <c r="B30" s="6">
        <v>60.990253365400001</v>
      </c>
      <c r="C30" s="6">
        <v>63.531881994499997</v>
      </c>
      <c r="D30" s="6">
        <v>59.469515143599999</v>
      </c>
      <c r="E30" s="6">
        <v>9.3606353475800006</v>
      </c>
      <c r="F30" s="7">
        <v>9.4744318941099994</v>
      </c>
      <c r="G30" s="7">
        <v>9.3262518850100005</v>
      </c>
      <c r="H30" s="7">
        <v>69.077063355899995</v>
      </c>
      <c r="I30" s="7">
        <v>69.590511860299998</v>
      </c>
      <c r="J30" s="7">
        <v>68.816768605299998</v>
      </c>
      <c r="K30" s="7">
        <v>56.848104183899999</v>
      </c>
      <c r="L30" s="7">
        <v>57.982416767499998</v>
      </c>
      <c r="M30" s="7">
        <v>56.198391189500001</v>
      </c>
    </row>
    <row r="31" spans="1:13" x14ac:dyDescent="0.25">
      <c r="A31" s="1">
        <v>29</v>
      </c>
      <c r="B31" s="6">
        <v>60.9190008717</v>
      </c>
      <c r="C31" s="6">
        <v>63.588740999899997</v>
      </c>
      <c r="D31" s="6">
        <v>59.3159957457</v>
      </c>
      <c r="E31" s="6">
        <v>9.3708391320299995</v>
      </c>
      <c r="F31" s="7">
        <v>9.4712813374200007</v>
      </c>
      <c r="G31" s="7">
        <v>9.3421714420399997</v>
      </c>
      <c r="H31" s="7">
        <v>69.075555382700003</v>
      </c>
      <c r="I31" s="7">
        <v>69.595553030399998</v>
      </c>
      <c r="J31" s="7">
        <v>68.811523880699994</v>
      </c>
      <c r="K31" s="7">
        <v>56.824922942999997</v>
      </c>
      <c r="L31" s="7">
        <v>58.003641534899998</v>
      </c>
      <c r="M31" s="7">
        <v>56.146475666900002</v>
      </c>
    </row>
    <row r="32" spans="1:13" x14ac:dyDescent="0.25">
      <c r="A32" s="1">
        <v>30</v>
      </c>
      <c r="B32" s="6">
        <v>60.848101759400002</v>
      </c>
      <c r="C32" s="6">
        <v>63.650370437699998</v>
      </c>
      <c r="D32" s="6">
        <v>59.159994897799997</v>
      </c>
      <c r="E32" s="6">
        <v>9.3801180209700004</v>
      </c>
      <c r="F32" s="7">
        <v>9.4612912956699997</v>
      </c>
      <c r="G32" s="7">
        <v>9.3591350475699997</v>
      </c>
      <c r="H32" s="7">
        <v>69.074604048200001</v>
      </c>
      <c r="I32" s="7">
        <v>69.598515659699999</v>
      </c>
      <c r="J32" s="7">
        <v>68.807561462500004</v>
      </c>
      <c r="K32" s="7">
        <v>56.801994059800002</v>
      </c>
      <c r="L32" s="7">
        <v>58.024341668399998</v>
      </c>
      <c r="M32" s="7">
        <v>56.094534406999998</v>
      </c>
    </row>
    <row r="33" spans="1:13" x14ac:dyDescent="0.25">
      <c r="A33" s="1">
        <v>31</v>
      </c>
      <c r="B33" s="6">
        <v>60.778769627099997</v>
      </c>
      <c r="C33" s="6">
        <v>63.715582436799998</v>
      </c>
      <c r="D33" s="6">
        <v>59.003120408299999</v>
      </c>
      <c r="E33" s="6">
        <v>9.3867199158099996</v>
      </c>
      <c r="F33" s="7">
        <v>9.4457760602600001</v>
      </c>
      <c r="G33" s="7">
        <v>9.3751412906899994</v>
      </c>
      <c r="H33" s="7">
        <v>69.073384312599998</v>
      </c>
      <c r="I33" s="7">
        <v>69.599570417699994</v>
      </c>
      <c r="J33" s="7">
        <v>68.804029765199999</v>
      </c>
      <c r="K33" s="7">
        <v>56.779032985900002</v>
      </c>
      <c r="L33" s="7">
        <v>58.044411307799997</v>
      </c>
      <c r="M33" s="7">
        <v>56.042362867599998</v>
      </c>
    </row>
    <row r="34" spans="1:13" x14ac:dyDescent="0.25">
      <c r="A34" s="1">
        <v>32</v>
      </c>
      <c r="B34" s="6">
        <v>60.7113065765</v>
      </c>
      <c r="C34" s="6">
        <v>63.782865836399999</v>
      </c>
      <c r="D34" s="6">
        <v>58.846160245500002</v>
      </c>
      <c r="E34" s="6">
        <v>9.3901096293999995</v>
      </c>
      <c r="F34" s="7">
        <v>9.4268113229899999</v>
      </c>
      <c r="G34" s="7">
        <v>9.3891747398999996</v>
      </c>
      <c r="H34" s="7">
        <v>69.071501674199993</v>
      </c>
      <c r="I34" s="7">
        <v>69.5992739589</v>
      </c>
      <c r="J34" s="7">
        <v>68.800403133399996</v>
      </c>
      <c r="K34" s="7">
        <v>56.755857918799997</v>
      </c>
      <c r="L34" s="7">
        <v>58.0639509445</v>
      </c>
      <c r="M34" s="7">
        <v>55.989800781500001</v>
      </c>
    </row>
    <row r="35" spans="1:13" x14ac:dyDescent="0.25">
      <c r="A35" s="1">
        <v>33</v>
      </c>
      <c r="B35" s="6">
        <v>60.645340913699997</v>
      </c>
      <c r="C35" s="6">
        <v>63.850808093700003</v>
      </c>
      <c r="D35" s="6">
        <v>58.689184198600003</v>
      </c>
      <c r="E35" s="6">
        <v>9.3906730499699993</v>
      </c>
      <c r="F35" s="7">
        <v>9.4065361944399992</v>
      </c>
      <c r="G35" s="7">
        <v>9.4010868224100008</v>
      </c>
      <c r="H35" s="7">
        <v>69.0689223121</v>
      </c>
      <c r="I35" s="7">
        <v>69.598314044000006</v>
      </c>
      <c r="J35" s="7">
        <v>68.796472347000005</v>
      </c>
      <c r="K35" s="7">
        <v>56.732387785999997</v>
      </c>
      <c r="L35" s="7">
        <v>58.083170444300002</v>
      </c>
      <c r="M35" s="7">
        <v>55.936742732900001</v>
      </c>
    </row>
    <row r="36" spans="1:13" x14ac:dyDescent="0.25">
      <c r="A36" s="1">
        <v>34</v>
      </c>
      <c r="B36" s="6">
        <v>60.580133720200003</v>
      </c>
      <c r="C36" s="6">
        <v>63.918347195199999</v>
      </c>
      <c r="D36" s="6">
        <v>58.531769866700003</v>
      </c>
      <c r="E36" s="6">
        <v>9.3893189331899993</v>
      </c>
      <c r="F36" s="7">
        <v>9.3866686207200001</v>
      </c>
      <c r="G36" s="7">
        <v>9.4113268046199998</v>
      </c>
      <c r="H36" s="7">
        <v>69.065848862300001</v>
      </c>
      <c r="I36" s="7">
        <v>69.5973102942</v>
      </c>
      <c r="J36" s="7">
        <v>68.792269888500002</v>
      </c>
      <c r="K36" s="7">
        <v>56.708619812999999</v>
      </c>
      <c r="L36" s="7">
        <v>58.102296659399997</v>
      </c>
      <c r="M36" s="7">
        <v>55.8831340001</v>
      </c>
    </row>
    <row r="37" spans="1:13" x14ac:dyDescent="0.25">
      <c r="A37" s="1">
        <v>35</v>
      </c>
      <c r="B37" s="6">
        <v>60.514864378799999</v>
      </c>
      <c r="C37" s="6">
        <v>63.984864424100003</v>
      </c>
      <c r="D37" s="6">
        <v>58.373262116799999</v>
      </c>
      <c r="E37" s="6">
        <v>9.3871002093999998</v>
      </c>
      <c r="F37" s="7">
        <v>9.3682714513200001</v>
      </c>
      <c r="G37" s="7">
        <v>9.4206333876400006</v>
      </c>
      <c r="H37" s="7">
        <v>69.0625873523</v>
      </c>
      <c r="I37" s="7">
        <v>69.596695928499997</v>
      </c>
      <c r="J37" s="7">
        <v>68.787968831100002</v>
      </c>
      <c r="K37" s="7">
        <v>56.684598643199998</v>
      </c>
      <c r="L37" s="7">
        <v>58.121507980300002</v>
      </c>
      <c r="M37" s="7">
        <v>55.828958147000002</v>
      </c>
    </row>
    <row r="38" spans="1:13" x14ac:dyDescent="0.25">
      <c r="A38" s="1">
        <v>36</v>
      </c>
      <c r="B38" s="6">
        <v>60.448839773800003</v>
      </c>
      <c r="C38" s="6">
        <v>64.050153974599993</v>
      </c>
      <c r="D38" s="6">
        <v>58.212998093400003</v>
      </c>
      <c r="E38" s="6">
        <v>9.3849316053600003</v>
      </c>
      <c r="F38" s="7">
        <v>9.3517387630800002</v>
      </c>
      <c r="G38" s="7">
        <v>9.4297684020000005</v>
      </c>
      <c r="H38" s="7">
        <v>69.059437420600005</v>
      </c>
      <c r="I38" s="7">
        <v>69.596679931799997</v>
      </c>
      <c r="J38" s="7">
        <v>68.783786639300004</v>
      </c>
      <c r="K38" s="7">
        <v>56.660386744599997</v>
      </c>
      <c r="L38" s="7">
        <v>58.140902859000001</v>
      </c>
      <c r="M38" s="7">
        <v>55.774222160000001</v>
      </c>
    </row>
    <row r="39" spans="1:13" x14ac:dyDescent="0.25">
      <c r="A39" s="1">
        <v>37</v>
      </c>
      <c r="B39" s="6">
        <v>60.381606699099997</v>
      </c>
      <c r="C39" s="6">
        <v>64.114317123800006</v>
      </c>
      <c r="D39" s="6">
        <v>58.0504597694</v>
      </c>
      <c r="E39" s="6">
        <v>9.3834334005900004</v>
      </c>
      <c r="F39" s="7">
        <v>9.3369330691299997</v>
      </c>
      <c r="G39" s="7">
        <v>9.4393370371599996</v>
      </c>
      <c r="H39" s="7">
        <v>69.056622025999999</v>
      </c>
      <c r="I39" s="7">
        <v>69.597271593000002</v>
      </c>
      <c r="J39" s="7">
        <v>68.779913344899995</v>
      </c>
      <c r="K39" s="7">
        <v>56.636042100899999</v>
      </c>
      <c r="L39" s="7">
        <v>58.160498277800002</v>
      </c>
      <c r="M39" s="7">
        <v>55.718943169600003</v>
      </c>
    </row>
    <row r="40" spans="1:13" x14ac:dyDescent="0.25">
      <c r="A40" s="1">
        <v>38</v>
      </c>
      <c r="B40" s="6">
        <v>60.312974754899997</v>
      </c>
      <c r="C40" s="6">
        <v>64.177628200399994</v>
      </c>
      <c r="D40" s="6">
        <v>57.885344332599999</v>
      </c>
      <c r="E40" s="6">
        <v>9.3828931926300001</v>
      </c>
      <c r="F40" s="7">
        <v>9.3233934612200002</v>
      </c>
      <c r="G40" s="7">
        <v>9.4497047229100009</v>
      </c>
      <c r="H40" s="7">
        <v>69.054258694200001</v>
      </c>
      <c r="I40" s="7">
        <v>69.598341499599996</v>
      </c>
      <c r="J40" s="7">
        <v>68.776471489000002</v>
      </c>
      <c r="K40" s="7">
        <v>56.611605378699998</v>
      </c>
      <c r="L40" s="7">
        <v>58.180248337499997</v>
      </c>
      <c r="M40" s="7">
        <v>55.663138814500002</v>
      </c>
    </row>
    <row r="41" spans="1:13" x14ac:dyDescent="0.25">
      <c r="A41" s="1">
        <v>39</v>
      </c>
      <c r="B41" s="6">
        <v>60.242974147699996</v>
      </c>
      <c r="C41" s="6">
        <v>64.240409999600004</v>
      </c>
      <c r="D41" s="6">
        <v>57.717563870799999</v>
      </c>
      <c r="E41" s="6">
        <v>9.3833141304699996</v>
      </c>
      <c r="F41" s="7">
        <v>9.3105455596300004</v>
      </c>
      <c r="G41" s="7">
        <v>9.4609958799899996</v>
      </c>
      <c r="H41" s="7">
        <v>69.052364482100003</v>
      </c>
      <c r="I41" s="7">
        <v>69.599693531</v>
      </c>
      <c r="J41" s="7">
        <v>68.773505650800004</v>
      </c>
      <c r="K41" s="7">
        <v>56.587095860200002</v>
      </c>
      <c r="L41" s="7">
        <v>58.200071859099999</v>
      </c>
      <c r="M41" s="7">
        <v>55.6068216639</v>
      </c>
    </row>
    <row r="42" spans="1:13" x14ac:dyDescent="0.25">
      <c r="A42" s="1">
        <v>40</v>
      </c>
      <c r="B42" s="6">
        <v>60.171779059099997</v>
      </c>
      <c r="C42" s="6">
        <v>64.302941954399998</v>
      </c>
      <c r="D42" s="6">
        <v>57.547197597599997</v>
      </c>
      <c r="E42" s="6">
        <v>9.3845096030599997</v>
      </c>
      <c r="F42" s="7">
        <v>9.2978666991699992</v>
      </c>
      <c r="G42" s="7">
        <v>9.4731466589900002</v>
      </c>
      <c r="H42" s="7">
        <v>69.050882038599994</v>
      </c>
      <c r="I42" s="7">
        <v>69.601128345299998</v>
      </c>
      <c r="J42" s="7">
        <v>68.770993575399999</v>
      </c>
      <c r="K42" s="7">
        <v>56.562513765299997</v>
      </c>
      <c r="L42" s="7">
        <v>58.219879635300003</v>
      </c>
      <c r="M42" s="7">
        <v>55.5499970881</v>
      </c>
    </row>
    <row r="43" spans="1:13" x14ac:dyDescent="0.25">
      <c r="A43" s="1">
        <v>41</v>
      </c>
      <c r="B43" s="6">
        <v>60.0996247418</v>
      </c>
      <c r="C43" s="6">
        <v>64.365409683400003</v>
      </c>
      <c r="D43" s="6">
        <v>57.374422703400001</v>
      </c>
      <c r="E43" s="6">
        <v>9.3862076868400006</v>
      </c>
      <c r="F43" s="7">
        <v>9.2849850396400004</v>
      </c>
      <c r="G43" s="7">
        <v>9.4859813991300008</v>
      </c>
      <c r="H43" s="7">
        <v>69.049713756800003</v>
      </c>
      <c r="I43" s="7">
        <v>69.602487143700003</v>
      </c>
      <c r="J43" s="7">
        <v>68.7688688856</v>
      </c>
      <c r="K43" s="7">
        <v>56.537846085300004</v>
      </c>
      <c r="L43" s="7">
        <v>58.239595205299999</v>
      </c>
      <c r="M43" s="7">
        <v>55.492663520500003</v>
      </c>
    </row>
    <row r="44" spans="1:13" x14ac:dyDescent="0.25">
      <c r="A44" s="1">
        <v>42</v>
      </c>
      <c r="B44" s="6">
        <v>60.026738614999999</v>
      </c>
      <c r="C44" s="6">
        <v>64.427892772899995</v>
      </c>
      <c r="D44" s="6">
        <v>57.199446076699999</v>
      </c>
      <c r="E44" s="6">
        <v>9.3881389906300008</v>
      </c>
      <c r="F44" s="7">
        <v>9.2717127780199995</v>
      </c>
      <c r="G44" s="7">
        <v>9.4992877077899998</v>
      </c>
      <c r="H44" s="7">
        <v>69.048753659599996</v>
      </c>
      <c r="I44" s="7">
        <v>69.603672520100005</v>
      </c>
      <c r="J44" s="7">
        <v>68.767046265499999</v>
      </c>
      <c r="K44" s="7">
        <v>56.513073356200003</v>
      </c>
      <c r="L44" s="7">
        <v>58.259166511099998</v>
      </c>
      <c r="M44" s="7">
        <v>55.434814038500001</v>
      </c>
    </row>
    <row r="45" spans="1:13" x14ac:dyDescent="0.25">
      <c r="A45" s="1">
        <v>43</v>
      </c>
      <c r="B45" s="6">
        <v>59.953295862799997</v>
      </c>
      <c r="C45" s="6">
        <v>64.490380447700005</v>
      </c>
      <c r="D45" s="6">
        <v>57.022451648900002</v>
      </c>
      <c r="E45" s="6">
        <v>9.3900941739300006</v>
      </c>
      <c r="F45" s="7">
        <v>9.2580279526599991</v>
      </c>
      <c r="G45" s="7">
        <v>9.5128740188100007</v>
      </c>
      <c r="H45" s="7">
        <v>69.0479106879</v>
      </c>
      <c r="I45" s="7">
        <v>69.604649275599996</v>
      </c>
      <c r="J45" s="7">
        <v>68.765442617199994</v>
      </c>
      <c r="K45" s="7">
        <v>56.488175550500003</v>
      </c>
      <c r="L45" s="7">
        <v>58.278568701799998</v>
      </c>
      <c r="M45" s="7">
        <v>55.376438401800002</v>
      </c>
    </row>
    <row r="46" spans="1:13" x14ac:dyDescent="0.25">
      <c r="A46" s="1">
        <v>44</v>
      </c>
      <c r="B46" s="6">
        <v>59.8794011747</v>
      </c>
      <c r="C46" s="6">
        <v>64.552802225799994</v>
      </c>
      <c r="D46" s="6">
        <v>56.843569819000002</v>
      </c>
      <c r="E46" s="6">
        <v>9.3919487664899997</v>
      </c>
      <c r="F46" s="7">
        <v>9.2440257647700008</v>
      </c>
      <c r="G46" s="7">
        <v>9.5266029254000006</v>
      </c>
      <c r="H46" s="7">
        <v>69.047121127200001</v>
      </c>
      <c r="I46" s="7">
        <v>69.605431527199997</v>
      </c>
      <c r="J46" s="7">
        <v>68.763990844299997</v>
      </c>
      <c r="K46" s="7">
        <v>56.4631361191</v>
      </c>
      <c r="L46" s="7">
        <v>58.297800244299999</v>
      </c>
      <c r="M46" s="7">
        <v>55.317524976900003</v>
      </c>
    </row>
    <row r="47" spans="1:13" x14ac:dyDescent="0.25">
      <c r="A47" s="1">
        <v>45</v>
      </c>
      <c r="B47" s="6">
        <v>59.805091967700001</v>
      </c>
      <c r="C47" s="6">
        <v>64.6150617455</v>
      </c>
      <c r="D47" s="6">
        <v>56.662868420999999</v>
      </c>
      <c r="E47" s="6">
        <v>9.3936609227200005</v>
      </c>
      <c r="F47" s="7">
        <v>9.2298601121200008</v>
      </c>
      <c r="G47" s="7">
        <v>9.5404012460099992</v>
      </c>
      <c r="H47" s="7">
        <v>69.046351078800001</v>
      </c>
      <c r="I47" s="7">
        <v>69.606063374399994</v>
      </c>
      <c r="J47" s="7">
        <v>68.762645716600005</v>
      </c>
      <c r="K47" s="7">
        <v>56.437943965700001</v>
      </c>
      <c r="L47" s="7">
        <v>58.3168753044</v>
      </c>
      <c r="M47" s="7">
        <v>55.258062242400001</v>
      </c>
    </row>
    <row r="48" spans="1:13" x14ac:dyDescent="0.25">
      <c r="A48" s="1">
        <v>46</v>
      </c>
      <c r="B48" s="6">
        <v>59.730355250899997</v>
      </c>
      <c r="C48" s="6">
        <v>64.677065243100003</v>
      </c>
      <c r="D48" s="6">
        <v>56.480360124599997</v>
      </c>
      <c r="E48" s="6">
        <v>9.3952517887999996</v>
      </c>
      <c r="F48" s="7">
        <v>9.2156913680100008</v>
      </c>
      <c r="G48" s="7">
        <v>9.55425259099</v>
      </c>
      <c r="H48" s="7">
        <v>69.045591775199995</v>
      </c>
      <c r="I48" s="7">
        <v>69.606599431199996</v>
      </c>
      <c r="J48" s="7">
        <v>68.761383215199999</v>
      </c>
      <c r="K48" s="7">
        <v>56.412593656200002</v>
      </c>
      <c r="L48" s="7">
        <v>58.335815248300001</v>
      </c>
      <c r="M48" s="7">
        <v>55.198039774100003</v>
      </c>
    </row>
    <row r="49" spans="1:13" x14ac:dyDescent="0.25">
      <c r="A49" s="1">
        <v>47</v>
      </c>
      <c r="B49" s="6">
        <v>59.655149887699999</v>
      </c>
      <c r="C49" s="6">
        <v>64.738740199000006</v>
      </c>
      <c r="D49" s="6">
        <v>56.296019222300004</v>
      </c>
      <c r="E49" s="6">
        <v>9.3967787041200008</v>
      </c>
      <c r="F49" s="7">
        <v>9.2016498045600006</v>
      </c>
      <c r="G49" s="7">
        <v>9.5681800785700002</v>
      </c>
      <c r="H49" s="7">
        <v>69.044851172099996</v>
      </c>
      <c r="I49" s="7">
        <v>69.607089506400001</v>
      </c>
      <c r="J49" s="7">
        <v>68.760195723199999</v>
      </c>
      <c r="K49" s="7">
        <v>56.387084435600002</v>
      </c>
      <c r="L49" s="7">
        <v>58.354641403400002</v>
      </c>
      <c r="M49" s="7">
        <v>55.1374487398</v>
      </c>
    </row>
    <row r="50" spans="1:13" x14ac:dyDescent="0.25">
      <c r="A50" s="1">
        <v>48</v>
      </c>
      <c r="B50" s="6">
        <v>59.579427558500001</v>
      </c>
      <c r="C50" s="6">
        <v>64.800043326299999</v>
      </c>
      <c r="D50" s="6">
        <v>56.109801014699997</v>
      </c>
      <c r="E50" s="6">
        <v>9.3983095704400004</v>
      </c>
      <c r="F50" s="7">
        <v>9.1878175427199995</v>
      </c>
      <c r="G50" s="7">
        <v>9.5822263952999993</v>
      </c>
      <c r="H50" s="7">
        <v>69.044144906200003</v>
      </c>
      <c r="I50" s="7">
        <v>69.607569412900006</v>
      </c>
      <c r="J50" s="7">
        <v>68.759085529499998</v>
      </c>
      <c r="K50" s="7">
        <v>56.361418671999999</v>
      </c>
      <c r="L50" s="7">
        <v>58.373370256000001</v>
      </c>
      <c r="M50" s="7">
        <v>55.076281997800002</v>
      </c>
    </row>
    <row r="51" spans="1:13" x14ac:dyDescent="0.25">
      <c r="A51" s="1">
        <v>49</v>
      </c>
      <c r="B51" s="6">
        <v>59.503148231700003</v>
      </c>
      <c r="C51" s="6">
        <v>64.860959692799995</v>
      </c>
      <c r="D51" s="6">
        <v>55.921658668699997</v>
      </c>
      <c r="E51" s="6">
        <v>9.3999036386399997</v>
      </c>
      <c r="F51" s="7">
        <v>9.17422690183</v>
      </c>
      <c r="G51" s="7">
        <v>9.5964365098600002</v>
      </c>
      <c r="H51" s="7">
        <v>69.043488805099997</v>
      </c>
      <c r="I51" s="7">
        <v>69.608057903299994</v>
      </c>
      <c r="J51" s="7">
        <v>68.758058637199994</v>
      </c>
      <c r="K51" s="7">
        <v>56.335600250399999</v>
      </c>
      <c r="L51" s="7">
        <v>58.392011349599997</v>
      </c>
      <c r="M51" s="7">
        <v>55.014533919800002</v>
      </c>
    </row>
    <row r="52" spans="1:13" x14ac:dyDescent="0.25">
      <c r="A52" s="1">
        <v>50</v>
      </c>
      <c r="B52" s="6">
        <v>59.426288549200002</v>
      </c>
      <c r="C52" s="6">
        <v>64.921496112900002</v>
      </c>
      <c r="D52" s="6">
        <v>55.731554676899997</v>
      </c>
      <c r="E52" s="6">
        <v>9.4016007683900007</v>
      </c>
      <c r="F52" s="7">
        <v>9.1608701243699997</v>
      </c>
      <c r="G52" s="7">
        <v>9.6108459387200007</v>
      </c>
      <c r="H52" s="7">
        <v>69.042894052099996</v>
      </c>
      <c r="I52" s="7">
        <v>69.608558387100004</v>
      </c>
      <c r="J52" s="7">
        <v>68.757120115600003</v>
      </c>
      <c r="K52" s="7">
        <v>56.309633259500004</v>
      </c>
      <c r="L52" s="7">
        <v>58.410567466000003</v>
      </c>
      <c r="M52" s="7">
        <v>54.952200050499997</v>
      </c>
    </row>
    <row r="53" spans="1:13" x14ac:dyDescent="0.25">
      <c r="A53" s="1">
        <v>51</v>
      </c>
      <c r="B53" s="6">
        <v>59.348843623199997</v>
      </c>
      <c r="C53" s="6">
        <v>64.981672154799995</v>
      </c>
      <c r="D53" s="6">
        <v>55.5394661805</v>
      </c>
      <c r="E53" s="6">
        <v>9.4034186507499999</v>
      </c>
      <c r="F53" s="7">
        <v>9.1477146100999995</v>
      </c>
      <c r="G53" s="7">
        <v>9.62547523936</v>
      </c>
      <c r="H53" s="7">
        <v>69.0423651535</v>
      </c>
      <c r="I53" s="7">
        <v>69.609063478899998</v>
      </c>
      <c r="J53" s="7">
        <v>68.756271465699996</v>
      </c>
      <c r="K53" s="7">
        <v>56.283521132799997</v>
      </c>
      <c r="L53" s="7">
        <v>58.429036304699999</v>
      </c>
      <c r="M53" s="7">
        <v>54.8892767018</v>
      </c>
    </row>
    <row r="54" spans="1:13" x14ac:dyDescent="0.25">
      <c r="A54" s="1">
        <v>52</v>
      </c>
      <c r="B54" s="6">
        <v>59.270824028600003</v>
      </c>
      <c r="C54" s="6">
        <v>65.041511511699994</v>
      </c>
      <c r="D54" s="6">
        <v>55.3453850187</v>
      </c>
      <c r="E54" s="6">
        <v>9.4053559010299992</v>
      </c>
      <c r="F54" s="7">
        <v>9.1347185163300004</v>
      </c>
      <c r="G54" s="7">
        <v>9.6403297987199998</v>
      </c>
      <c r="H54" s="7">
        <v>69.041900187400003</v>
      </c>
      <c r="I54" s="7">
        <v>69.6095604482</v>
      </c>
      <c r="J54" s="7">
        <v>68.755509864800004</v>
      </c>
      <c r="K54" s="7">
        <v>56.257266251200001</v>
      </c>
      <c r="L54" s="7">
        <v>58.4474127955</v>
      </c>
      <c r="M54" s="7">
        <v>54.825760555700001</v>
      </c>
    </row>
    <row r="55" spans="1:13" x14ac:dyDescent="0.25">
      <c r="A55" s="1">
        <v>53</v>
      </c>
      <c r="B55" s="6">
        <v>59.192250246299999</v>
      </c>
      <c r="C55" s="6">
        <v>65.101035486399994</v>
      </c>
      <c r="D55" s="6">
        <v>55.149314243299997</v>
      </c>
      <c r="E55" s="6">
        <v>9.4073983452499998</v>
      </c>
      <c r="F55" s="7">
        <v>9.1218431930600001</v>
      </c>
      <c r="G55" s="7">
        <v>9.6554031350200002</v>
      </c>
      <c r="H55" s="7">
        <v>69.041492493199996</v>
      </c>
      <c r="I55" s="7">
        <v>69.610036071099998</v>
      </c>
      <c r="J55" s="7">
        <v>68.754828789499996</v>
      </c>
      <c r="K55" s="7">
        <v>56.2308699182</v>
      </c>
      <c r="L55" s="7">
        <v>58.465691321400001</v>
      </c>
      <c r="M55" s="7">
        <v>54.761648326600003</v>
      </c>
    </row>
    <row r="56" spans="1:13" x14ac:dyDescent="0.25">
      <c r="A56" s="1">
        <v>54</v>
      </c>
      <c r="B56" s="6">
        <v>59.113146627699997</v>
      </c>
      <c r="C56" s="6">
        <v>65.160259287599999</v>
      </c>
      <c r="D56" s="6">
        <v>54.9512630483</v>
      </c>
      <c r="E56" s="6">
        <v>9.4095260279000001</v>
      </c>
      <c r="F56" s="7">
        <v>9.1090607768399998</v>
      </c>
      <c r="G56" s="7">
        <v>9.6706817682799997</v>
      </c>
      <c r="H56" s="7">
        <v>69.041132924300001</v>
      </c>
      <c r="I56" s="7">
        <v>69.610480011999996</v>
      </c>
      <c r="J56" s="7">
        <v>68.754219384400002</v>
      </c>
      <c r="K56" s="7">
        <v>56.204332571999998</v>
      </c>
      <c r="L56" s="7">
        <v>58.483867378500001</v>
      </c>
      <c r="M56" s="7">
        <v>54.696936514500003</v>
      </c>
    </row>
    <row r="57" spans="1:13" x14ac:dyDescent="0.25">
      <c r="A57" s="1">
        <v>55</v>
      </c>
      <c r="B57" s="6">
        <v>59.033536373399997</v>
      </c>
      <c r="C57" s="6">
        <v>65.219190988899996</v>
      </c>
      <c r="D57" s="6">
        <v>54.751241765300001</v>
      </c>
      <c r="E57" s="6">
        <v>9.4117191492399996</v>
      </c>
      <c r="F57" s="7">
        <v>9.0963568780500008</v>
      </c>
      <c r="G57" s="7">
        <v>9.6861500372399991</v>
      </c>
      <c r="H57" s="7">
        <v>69.040811968900002</v>
      </c>
      <c r="I57" s="7">
        <v>69.610886467599997</v>
      </c>
      <c r="J57" s="7">
        <v>68.753672002900004</v>
      </c>
      <c r="K57" s="7">
        <v>56.177654103599998</v>
      </c>
      <c r="L57" s="7">
        <v>58.501938480600003</v>
      </c>
      <c r="M57" s="7">
        <v>54.631621258099997</v>
      </c>
    </row>
    <row r="58" spans="1:13" x14ac:dyDescent="0.25">
      <c r="A58" s="1">
        <v>56</v>
      </c>
      <c r="B58" s="6">
        <v>58.953438301799999</v>
      </c>
      <c r="C58" s="6">
        <v>65.277832466500001</v>
      </c>
      <c r="D58" s="6">
        <v>54.549258021599996</v>
      </c>
      <c r="E58" s="6">
        <v>9.4139619844000002</v>
      </c>
      <c r="F58" s="7">
        <v>9.0837293918600004</v>
      </c>
      <c r="G58" s="7">
        <v>9.7017938108500008</v>
      </c>
      <c r="H58" s="7">
        <v>69.040521303700004</v>
      </c>
      <c r="I58" s="7">
        <v>69.611254277599997</v>
      </c>
      <c r="J58" s="7">
        <v>68.753177505500005</v>
      </c>
      <c r="K58" s="7">
        <v>56.150834171500001</v>
      </c>
      <c r="L58" s="7">
        <v>58.519904341999997</v>
      </c>
      <c r="M58" s="7">
        <v>54.565698281800003</v>
      </c>
    </row>
    <row r="59" spans="1:13" x14ac:dyDescent="0.25">
      <c r="A59" s="1">
        <v>57</v>
      </c>
      <c r="B59" s="6">
        <v>58.872865532299997</v>
      </c>
      <c r="C59" s="6">
        <v>65.336181433500002</v>
      </c>
      <c r="D59" s="6">
        <v>54.3453145346</v>
      </c>
      <c r="E59" s="6">
        <v>9.4162446035199991</v>
      </c>
      <c r="F59" s="7">
        <v>9.0711849724599993</v>
      </c>
      <c r="G59" s="7">
        <v>9.7176026487700007</v>
      </c>
      <c r="H59" s="7">
        <v>69.040254625200006</v>
      </c>
      <c r="I59" s="7">
        <v>69.611585975300002</v>
      </c>
      <c r="J59" s="7">
        <v>68.752728101399995</v>
      </c>
      <c r="K59" s="7">
        <v>56.123872450100002</v>
      </c>
      <c r="L59" s="7">
        <v>58.5377665249</v>
      </c>
      <c r="M59" s="7">
        <v>54.499162919600003</v>
      </c>
    </row>
    <row r="60" spans="1:13" x14ac:dyDescent="0.25">
      <c r="A60" s="1">
        <v>58</v>
      </c>
      <c r="B60" s="6">
        <v>58.791825745799997</v>
      </c>
      <c r="C60" s="6">
        <v>65.394233743699999</v>
      </c>
      <c r="D60" s="6">
        <v>54.1394085027</v>
      </c>
      <c r="E60" s="6">
        <v>9.4185627578699993</v>
      </c>
      <c r="F60" s="7">
        <v>9.0587347149900008</v>
      </c>
      <c r="G60" s="7">
        <v>9.7335704620199994</v>
      </c>
      <c r="H60" s="7">
        <v>69.040007811600006</v>
      </c>
      <c r="I60" s="7">
        <v>69.611886330199994</v>
      </c>
      <c r="J60" s="7">
        <v>68.752317695299993</v>
      </c>
      <c r="K60" s="7">
        <v>56.096768780200001</v>
      </c>
      <c r="L60" s="7">
        <v>58.555527796100002</v>
      </c>
      <c r="M60" s="7">
        <v>54.4320101888</v>
      </c>
    </row>
    <row r="61" spans="1:13" x14ac:dyDescent="0.25">
      <c r="A61" s="1">
        <v>59</v>
      </c>
      <c r="B61" s="6">
        <v>58.710322448299998</v>
      </c>
      <c r="C61" s="6">
        <v>65.4519853611</v>
      </c>
      <c r="D61" s="6">
        <v>53.931532209700002</v>
      </c>
      <c r="E61" s="6">
        <v>9.4209165776500008</v>
      </c>
      <c r="F61" s="7">
        <v>9.0463902554000004</v>
      </c>
      <c r="G61" s="7">
        <v>9.7496950385800005</v>
      </c>
      <c r="H61" s="7">
        <v>69.039778601899997</v>
      </c>
      <c r="I61" s="7">
        <v>69.612160866099998</v>
      </c>
      <c r="J61" s="7">
        <v>68.751941824799999</v>
      </c>
      <c r="K61" s="7">
        <v>56.069523227600001</v>
      </c>
      <c r="L61" s="7">
        <v>58.573191425899999</v>
      </c>
      <c r="M61" s="7">
        <v>54.364234886699997</v>
      </c>
    </row>
    <row r="62" spans="1:13" x14ac:dyDescent="0.25">
      <c r="A62" s="1">
        <v>60</v>
      </c>
      <c r="B62" s="6">
        <v>58.628356634100001</v>
      </c>
      <c r="C62" s="6">
        <v>65.509433669200007</v>
      </c>
      <c r="D62" s="6">
        <v>53.721674321099997</v>
      </c>
      <c r="E62" s="6">
        <v>9.4233087698899993</v>
      </c>
      <c r="F62" s="7">
        <v>9.0341610080599999</v>
      </c>
      <c r="G62" s="7">
        <v>9.7659769250499995</v>
      </c>
      <c r="H62" s="7">
        <v>69.039566020899997</v>
      </c>
      <c r="I62" s="7">
        <v>69.612414686999998</v>
      </c>
      <c r="J62" s="7">
        <v>68.751597335200003</v>
      </c>
      <c r="K62" s="7">
        <v>56.042136067199998</v>
      </c>
      <c r="L62" s="7">
        <v>58.590760598599999</v>
      </c>
      <c r="M62" s="7">
        <v>54.295831687300002</v>
      </c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5F29-83DF-4A1D-987D-902C650B9963}">
  <dimension ref="A1:BC340"/>
  <sheetViews>
    <sheetView zoomScaleNormal="100" workbookViewId="0">
      <pane ySplit="1" topLeftCell="A2" activePane="bottomLeft" state="frozen"/>
      <selection pane="bottomLeft" activeCell="N62" sqref="N62:Q62"/>
    </sheetView>
  </sheetViews>
  <sheetFormatPr baseColWidth="10" defaultRowHeight="15" x14ac:dyDescent="0.25"/>
  <cols>
    <col min="2" max="2" width="9.42578125" bestFit="1" customWidth="1"/>
    <col min="3" max="3" width="11" bestFit="1" customWidth="1"/>
    <col min="4" max="4" width="11.7109375" bestFit="1" customWidth="1"/>
    <col min="5" max="5" width="12.85546875" bestFit="1" customWidth="1"/>
    <col min="6" max="6" width="8.7109375" bestFit="1" customWidth="1"/>
    <col min="7" max="7" width="10.28515625" bestFit="1" customWidth="1"/>
    <col min="8" max="8" width="11" bestFit="1" customWidth="1"/>
    <col min="9" max="9" width="12.140625" bestFit="1" customWidth="1"/>
    <col min="10" max="10" width="8.7109375" bestFit="1" customWidth="1"/>
    <col min="11" max="11" width="10.28515625" bestFit="1" customWidth="1"/>
    <col min="12" max="12" width="11" bestFit="1" customWidth="1"/>
    <col min="13" max="13" width="12.140625" bestFit="1" customWidth="1"/>
    <col min="14" max="14" width="8" bestFit="1" customWidth="1"/>
    <col min="15" max="15" width="9.5703125" bestFit="1" customWidth="1"/>
    <col min="16" max="16" width="10.28515625" bestFit="1" customWidth="1"/>
    <col min="17" max="17" width="11.42578125" bestFit="1" customWidth="1"/>
  </cols>
  <sheetData>
    <row r="1" spans="1:55" x14ac:dyDescent="0.25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t="s">
        <v>43</v>
      </c>
      <c r="G1" t="s">
        <v>65</v>
      </c>
      <c r="H1" t="s">
        <v>66</v>
      </c>
      <c r="I1" t="s">
        <v>67</v>
      </c>
      <c r="J1" t="s">
        <v>46</v>
      </c>
      <c r="K1" t="s">
        <v>68</v>
      </c>
      <c r="L1" t="s">
        <v>69</v>
      </c>
      <c r="M1" t="s">
        <v>70</v>
      </c>
      <c r="N1" t="s">
        <v>49</v>
      </c>
      <c r="O1" t="s">
        <v>71</v>
      </c>
      <c r="P1" t="s">
        <v>72</v>
      </c>
      <c r="Q1" t="s">
        <v>73</v>
      </c>
    </row>
    <row r="2" spans="1:55" x14ac:dyDescent="0.25">
      <c r="A2" s="1">
        <v>0</v>
      </c>
      <c r="B2" s="6">
        <v>74.494774371899993</v>
      </c>
      <c r="C2" s="6">
        <v>73.803982476100003</v>
      </c>
      <c r="D2" s="6">
        <v>74.826949421999998</v>
      </c>
      <c r="E2" s="6">
        <v>73.920830840400001</v>
      </c>
      <c r="F2" s="7">
        <v>5.3268111360699999</v>
      </c>
      <c r="G2" s="7">
        <v>6.2268246995299998</v>
      </c>
      <c r="H2" s="7">
        <v>7.0006229577100001</v>
      </c>
      <c r="I2" s="7">
        <v>8.0956530381</v>
      </c>
      <c r="J2" s="7">
        <v>61.108540746000003</v>
      </c>
      <c r="K2" s="7">
        <v>61.224344434999999</v>
      </c>
      <c r="L2" s="7">
        <v>76.349086479999997</v>
      </c>
      <c r="M2" s="7">
        <v>69.439672481200006</v>
      </c>
      <c r="N2" s="6">
        <v>56.7519570722</v>
      </c>
      <c r="O2" s="6">
        <v>56.720317286700002</v>
      </c>
      <c r="P2" s="6">
        <v>64.803179267199994</v>
      </c>
      <c r="Q2" s="6">
        <v>61.1930545958</v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x14ac:dyDescent="0.25">
      <c r="A3" s="1">
        <v>1</v>
      </c>
      <c r="B3" s="6">
        <v>71.1300234964</v>
      </c>
      <c r="C3" s="6">
        <v>66.937219128899997</v>
      </c>
      <c r="D3" s="6">
        <v>72.085338094999997</v>
      </c>
      <c r="E3" s="6">
        <v>66.802183662600001</v>
      </c>
      <c r="F3" s="7">
        <v>22.021274960500001</v>
      </c>
      <c r="G3" s="7">
        <v>22.782195371899999</v>
      </c>
      <c r="H3" s="7">
        <v>23.684337710099999</v>
      </c>
      <c r="I3" s="7">
        <v>24.439187480699999</v>
      </c>
      <c r="J3" s="7">
        <v>65.087398777999994</v>
      </c>
      <c r="K3" s="7">
        <v>65.177857198300003</v>
      </c>
      <c r="L3" s="7">
        <v>76.9339790075</v>
      </c>
      <c r="M3" s="7">
        <v>71.573055980899994</v>
      </c>
      <c r="N3" s="6">
        <v>60.275445516399998</v>
      </c>
      <c r="O3" s="6">
        <v>59.027107128300003</v>
      </c>
      <c r="P3" s="6">
        <v>66.826555511500004</v>
      </c>
      <c r="Q3" s="6">
        <v>62.4647989208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x14ac:dyDescent="0.25">
      <c r="A4" s="1">
        <v>2</v>
      </c>
      <c r="B4" s="6">
        <v>65.901706906200005</v>
      </c>
      <c r="C4" s="6">
        <v>93.819723120000006</v>
      </c>
      <c r="D4" s="6">
        <v>64.757336781899994</v>
      </c>
      <c r="E4" s="6">
        <v>94.286507944799993</v>
      </c>
      <c r="F4" s="7">
        <v>31.540819007700001</v>
      </c>
      <c r="G4" s="7">
        <v>37.088028608999998</v>
      </c>
      <c r="H4" s="7">
        <v>30.313700386400001</v>
      </c>
      <c r="I4" s="7">
        <v>38.2383920901</v>
      </c>
      <c r="J4" s="7">
        <v>67.508311168500001</v>
      </c>
      <c r="K4" s="7">
        <v>67.965049800200006</v>
      </c>
      <c r="L4" s="7">
        <v>77.282090659600001</v>
      </c>
      <c r="M4" s="7">
        <v>73.068042638199998</v>
      </c>
      <c r="N4" s="6">
        <v>61.244280630200002</v>
      </c>
      <c r="O4" s="6">
        <v>71.7780866704</v>
      </c>
      <c r="P4" s="6">
        <v>65.583485193900003</v>
      </c>
      <c r="Q4" s="6">
        <v>74.687715309699996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x14ac:dyDescent="0.25">
      <c r="A5" s="1">
        <v>3</v>
      </c>
      <c r="B5" s="6">
        <v>56.445038898</v>
      </c>
      <c r="C5" s="6">
        <v>64.589772134499995</v>
      </c>
      <c r="D5" s="6">
        <v>57.239076113000003</v>
      </c>
      <c r="E5" s="6">
        <v>63.2785390134</v>
      </c>
      <c r="F5" s="7">
        <v>19.693233239200001</v>
      </c>
      <c r="G5" s="7">
        <v>40.036944419599998</v>
      </c>
      <c r="H5" s="7">
        <v>18.2394971453</v>
      </c>
      <c r="I5" s="7">
        <v>39.592995151799997</v>
      </c>
      <c r="J5" s="7">
        <v>68.328551517700006</v>
      </c>
      <c r="K5" s="7">
        <v>69.425571232799996</v>
      </c>
      <c r="L5" s="7">
        <v>77.409619787799997</v>
      </c>
      <c r="M5" s="7">
        <v>73.829424017500003</v>
      </c>
      <c r="N5" s="6">
        <v>56.581161609500001</v>
      </c>
      <c r="O5" s="6">
        <v>63.1183892293</v>
      </c>
      <c r="P5" s="6">
        <v>61.189716775400001</v>
      </c>
      <c r="Q5" s="6">
        <v>64.822385199999999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x14ac:dyDescent="0.25">
      <c r="A6" s="1">
        <v>4</v>
      </c>
      <c r="B6" s="6">
        <v>59.386145601599999</v>
      </c>
      <c r="C6" s="6">
        <v>56.763322528499998</v>
      </c>
      <c r="D6" s="6">
        <v>60.7233070885</v>
      </c>
      <c r="E6" s="6">
        <v>56.9680157158</v>
      </c>
      <c r="F6" s="7">
        <v>11.8402886685</v>
      </c>
      <c r="G6" s="7">
        <v>26.070592565799998</v>
      </c>
      <c r="H6" s="7">
        <v>10.4571079581</v>
      </c>
      <c r="I6" s="7">
        <v>25.990484587899999</v>
      </c>
      <c r="J6" s="7">
        <v>68.520531676900006</v>
      </c>
      <c r="K6" s="7">
        <v>69.534236096200004</v>
      </c>
      <c r="L6" s="7">
        <v>77.460244051800004</v>
      </c>
      <c r="M6" s="7">
        <v>73.898044725700004</v>
      </c>
      <c r="N6" s="6">
        <v>56.421059661000001</v>
      </c>
      <c r="O6" s="6">
        <v>58.310109494000002</v>
      </c>
      <c r="P6" s="6">
        <v>61.152959602700001</v>
      </c>
      <c r="Q6" s="6">
        <v>60.563400581300002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  <row r="7" spans="1:55" x14ac:dyDescent="0.25">
      <c r="A7" s="1">
        <v>5</v>
      </c>
      <c r="B7" s="6">
        <v>61.910833179599997</v>
      </c>
      <c r="C7" s="6">
        <v>58.413840589099998</v>
      </c>
      <c r="D7" s="6">
        <v>63.589914795699997</v>
      </c>
      <c r="E7" s="6">
        <v>59.045690594</v>
      </c>
      <c r="F7" s="7">
        <v>9.2288441023699992</v>
      </c>
      <c r="G7" s="7">
        <v>20.547831255999998</v>
      </c>
      <c r="H7" s="7">
        <v>8.2236087058099994</v>
      </c>
      <c r="I7" s="7">
        <v>21.267828481399999</v>
      </c>
      <c r="J7" s="7">
        <v>68.716196973799995</v>
      </c>
      <c r="K7" s="7">
        <v>69.200732517000006</v>
      </c>
      <c r="L7" s="7">
        <v>77.521352730900006</v>
      </c>
      <c r="M7" s="7">
        <v>73.769373478299997</v>
      </c>
      <c r="N7" s="6">
        <v>56.956124858599999</v>
      </c>
      <c r="O7" s="6">
        <v>57.820617912199999</v>
      </c>
      <c r="P7" s="6">
        <v>61.795793909300002</v>
      </c>
      <c r="Q7" s="6">
        <v>60.448466786499999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</row>
    <row r="8" spans="1:55" x14ac:dyDescent="0.25">
      <c r="A8" s="1">
        <v>6</v>
      </c>
      <c r="B8" s="6">
        <v>63.27808967</v>
      </c>
      <c r="C8" s="6">
        <v>60.349109057699998</v>
      </c>
      <c r="D8" s="6">
        <v>66.383667371599998</v>
      </c>
      <c r="E8" s="6">
        <v>61.111739613200001</v>
      </c>
      <c r="F8" s="7">
        <v>8.1419025253800008</v>
      </c>
      <c r="G8" s="7">
        <v>17.148577044700001</v>
      </c>
      <c r="H8" s="7">
        <v>9.9301101710400008</v>
      </c>
      <c r="I8" s="7">
        <v>18.9620960385</v>
      </c>
      <c r="J8" s="7">
        <v>69.010421140199995</v>
      </c>
      <c r="K8" s="7">
        <v>68.927070972600006</v>
      </c>
      <c r="L8" s="7">
        <v>77.5964619712</v>
      </c>
      <c r="M8" s="7">
        <v>73.685635048600005</v>
      </c>
      <c r="N8" s="6">
        <v>57.3927397255</v>
      </c>
      <c r="O8" s="6">
        <v>57.795163633100003</v>
      </c>
      <c r="P8" s="6">
        <v>63.047882080400001</v>
      </c>
      <c r="Q8" s="6">
        <v>60.7367251736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</row>
    <row r="9" spans="1:55" x14ac:dyDescent="0.25">
      <c r="A9" s="1">
        <v>7</v>
      </c>
      <c r="B9" s="6">
        <v>64.594435232400002</v>
      </c>
      <c r="C9" s="6">
        <v>62.089410952199998</v>
      </c>
      <c r="D9" s="6">
        <v>66.209920444100007</v>
      </c>
      <c r="E9" s="6">
        <v>62.675944700700001</v>
      </c>
      <c r="F9" s="7">
        <v>8.5348525527899994</v>
      </c>
      <c r="G9" s="7">
        <v>14.6840470854</v>
      </c>
      <c r="H9" s="7">
        <v>13.977106661200001</v>
      </c>
      <c r="I9" s="7">
        <v>17.4505937373</v>
      </c>
      <c r="J9" s="7">
        <v>69.379572323999994</v>
      </c>
      <c r="K9" s="7">
        <v>68.904470558400007</v>
      </c>
      <c r="L9" s="7">
        <v>77.655791611799998</v>
      </c>
      <c r="M9" s="7">
        <v>73.716699981999994</v>
      </c>
      <c r="N9" s="6">
        <v>58.085323064900003</v>
      </c>
      <c r="O9" s="6">
        <v>57.9790111127</v>
      </c>
      <c r="P9" s="6">
        <v>63.662930603200003</v>
      </c>
      <c r="Q9" s="6">
        <v>61.039775263499997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</row>
    <row r="10" spans="1:55" x14ac:dyDescent="0.25">
      <c r="A10" s="1">
        <v>8</v>
      </c>
      <c r="B10" s="6">
        <v>65.084609649699999</v>
      </c>
      <c r="C10" s="6">
        <v>63.549076505000002</v>
      </c>
      <c r="D10" s="6">
        <v>62.631687875300003</v>
      </c>
      <c r="E10" s="6">
        <v>63.823825174699998</v>
      </c>
      <c r="F10" s="7">
        <v>13.158723329500001</v>
      </c>
      <c r="G10" s="7">
        <v>13.411514525599999</v>
      </c>
      <c r="H10" s="7">
        <v>11.616525250400001</v>
      </c>
      <c r="I10" s="7">
        <v>16.920326919299999</v>
      </c>
      <c r="J10" s="7">
        <v>69.716856656100006</v>
      </c>
      <c r="K10" s="7">
        <v>69.196630105200001</v>
      </c>
      <c r="L10" s="7">
        <v>77.664925105999998</v>
      </c>
      <c r="M10" s="7">
        <v>73.876360931600004</v>
      </c>
      <c r="N10" s="6">
        <v>59.156130351800002</v>
      </c>
      <c r="O10" s="6">
        <v>58.416246914799999</v>
      </c>
      <c r="P10" s="6">
        <v>62.084465169600001</v>
      </c>
      <c r="Q10" s="6">
        <v>61.4231704213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</row>
    <row r="11" spans="1:55" x14ac:dyDescent="0.25">
      <c r="A11" s="1">
        <v>9</v>
      </c>
      <c r="B11" s="6">
        <v>61.6602332967</v>
      </c>
      <c r="C11" s="6">
        <v>69.6738100261</v>
      </c>
      <c r="D11" s="6">
        <v>62.627226607899999</v>
      </c>
      <c r="E11" s="6">
        <v>69.4598594303</v>
      </c>
      <c r="F11" s="7">
        <v>12.3211746507</v>
      </c>
      <c r="G11" s="7">
        <v>17.5727333243</v>
      </c>
      <c r="H11" s="7">
        <v>8.9693160559499994</v>
      </c>
      <c r="I11" s="7">
        <v>21.732734042699999</v>
      </c>
      <c r="J11" s="7">
        <v>69.776944775800004</v>
      </c>
      <c r="K11" s="7">
        <v>69.760125225500005</v>
      </c>
      <c r="L11" s="7">
        <v>77.643813993400002</v>
      </c>
      <c r="M11" s="7">
        <v>74.127299986200001</v>
      </c>
      <c r="N11" s="6">
        <v>57.897529566199999</v>
      </c>
      <c r="O11" s="6">
        <v>61.428812925400003</v>
      </c>
      <c r="P11" s="6">
        <v>61.651202390100003</v>
      </c>
      <c r="Q11" s="6">
        <v>64.217054381500006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</row>
    <row r="12" spans="1:55" x14ac:dyDescent="0.25">
      <c r="A12" s="1">
        <v>10</v>
      </c>
      <c r="B12" s="6">
        <v>61.243471204099997</v>
      </c>
      <c r="C12" s="6">
        <v>71.220791784200003</v>
      </c>
      <c r="D12" s="6">
        <v>63.205779168399999</v>
      </c>
      <c r="E12" s="6">
        <v>66.961635080600004</v>
      </c>
      <c r="F12" s="7">
        <v>10.2255608352</v>
      </c>
      <c r="G12" s="7">
        <v>26.387980682799999</v>
      </c>
      <c r="H12" s="7">
        <v>8.2638204609900008</v>
      </c>
      <c r="I12" s="7">
        <v>26.881593678200002</v>
      </c>
      <c r="J12" s="7">
        <v>69.6133572034</v>
      </c>
      <c r="K12" s="7">
        <v>70.233966786899998</v>
      </c>
      <c r="L12" s="7">
        <v>77.622585067100005</v>
      </c>
      <c r="M12" s="7">
        <v>74.272658686100002</v>
      </c>
      <c r="N12" s="6">
        <v>57.3411494972</v>
      </c>
      <c r="O12" s="6">
        <v>63.591788052200002</v>
      </c>
      <c r="P12" s="6">
        <v>61.723523533600002</v>
      </c>
      <c r="Q12" s="6">
        <v>64.266270415299999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</row>
    <row r="13" spans="1:55" x14ac:dyDescent="0.25">
      <c r="A13" s="1">
        <v>11</v>
      </c>
      <c r="B13" s="6">
        <v>61.573751769600001</v>
      </c>
      <c r="C13" s="6">
        <v>61.457251288000002</v>
      </c>
      <c r="D13" s="6">
        <v>63.636150510999997</v>
      </c>
      <c r="E13" s="6">
        <v>61.371377518199999</v>
      </c>
      <c r="F13" s="7">
        <v>9.3825826203799991</v>
      </c>
      <c r="G13" s="7">
        <v>23.783464235099999</v>
      </c>
      <c r="H13" s="7">
        <v>8.2425360795600007</v>
      </c>
      <c r="I13" s="7">
        <v>23.397903170399999</v>
      </c>
      <c r="J13" s="7">
        <v>69.414599266099998</v>
      </c>
      <c r="K13" s="7">
        <v>70.095824277000006</v>
      </c>
      <c r="L13" s="7">
        <v>77.609393013000002</v>
      </c>
      <c r="M13" s="7">
        <v>74.147959528200005</v>
      </c>
      <c r="N13" s="6">
        <v>57.218439003699999</v>
      </c>
      <c r="O13" s="6">
        <v>59.813037689200002</v>
      </c>
      <c r="P13" s="6">
        <v>61.858731796599997</v>
      </c>
      <c r="Q13" s="6">
        <v>61.762767652500003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</row>
    <row r="14" spans="1:55" x14ac:dyDescent="0.25">
      <c r="A14" s="1">
        <v>12</v>
      </c>
      <c r="B14" s="6">
        <v>61.947284865299999</v>
      </c>
      <c r="C14" s="6">
        <v>59.833133026699997</v>
      </c>
      <c r="D14" s="6">
        <v>63.781848288799999</v>
      </c>
      <c r="E14" s="6">
        <v>60.6965511079</v>
      </c>
      <c r="F14" s="7">
        <v>9.0116934828899993</v>
      </c>
      <c r="G14" s="7">
        <v>20.299089049399999</v>
      </c>
      <c r="H14" s="7">
        <v>8.4685189998699997</v>
      </c>
      <c r="I14" s="7">
        <v>21.2344460797</v>
      </c>
      <c r="J14" s="7">
        <v>69.257893729200006</v>
      </c>
      <c r="K14" s="7">
        <v>69.547952149799997</v>
      </c>
      <c r="L14" s="7">
        <v>77.603109277000001</v>
      </c>
      <c r="M14" s="7">
        <v>73.905532155200007</v>
      </c>
      <c r="N14" s="6">
        <v>57.206597907999999</v>
      </c>
      <c r="O14" s="6">
        <v>58.434817889900003</v>
      </c>
      <c r="P14" s="6">
        <v>61.940686622699999</v>
      </c>
      <c r="Q14" s="6">
        <v>61.068814928899997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</row>
    <row r="15" spans="1:55" x14ac:dyDescent="0.25">
      <c r="A15" s="1">
        <v>13</v>
      </c>
      <c r="B15" s="6">
        <v>62.1446963486</v>
      </c>
      <c r="C15" s="6">
        <v>60.0308760311</v>
      </c>
      <c r="D15" s="6">
        <v>63.718816187000002</v>
      </c>
      <c r="E15" s="6">
        <v>61.090056994299999</v>
      </c>
      <c r="F15" s="7">
        <v>8.8980440674099999</v>
      </c>
      <c r="G15" s="7">
        <v>18.3366612244</v>
      </c>
      <c r="H15" s="7">
        <v>8.7489432424799993</v>
      </c>
      <c r="I15" s="7">
        <v>20.140856860900001</v>
      </c>
      <c r="J15" s="7">
        <v>69.164060130099998</v>
      </c>
      <c r="K15" s="7">
        <v>68.9869092295</v>
      </c>
      <c r="L15" s="7">
        <v>77.600072599599997</v>
      </c>
      <c r="M15" s="7">
        <v>73.686602990699996</v>
      </c>
      <c r="N15" s="6">
        <v>57.207897314599997</v>
      </c>
      <c r="O15" s="6">
        <v>57.906901568199999</v>
      </c>
      <c r="P15" s="6">
        <v>61.9624976371</v>
      </c>
      <c r="Q15" s="6">
        <v>60.917417426199997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</row>
    <row r="16" spans="1:55" x14ac:dyDescent="0.25">
      <c r="A16" s="1">
        <v>14</v>
      </c>
      <c r="B16" s="6">
        <v>62.152043654499998</v>
      </c>
      <c r="C16" s="6">
        <v>60.6970986356</v>
      </c>
      <c r="D16" s="6">
        <v>63.561924361000003</v>
      </c>
      <c r="E16" s="6">
        <v>61.572562995399998</v>
      </c>
      <c r="F16" s="7">
        <v>8.9440724635100004</v>
      </c>
      <c r="G16" s="7">
        <v>16.258482450100001</v>
      </c>
      <c r="H16" s="7">
        <v>8.9842974602800005</v>
      </c>
      <c r="I16" s="7">
        <v>19.0804814267</v>
      </c>
      <c r="J16" s="7">
        <v>69.127622569600007</v>
      </c>
      <c r="K16" s="7">
        <v>68.612700411999995</v>
      </c>
      <c r="L16" s="7">
        <v>77.596816367399995</v>
      </c>
      <c r="M16" s="7">
        <v>73.551037850300006</v>
      </c>
      <c r="N16" s="6">
        <v>57.199354690600003</v>
      </c>
      <c r="O16" s="6">
        <v>57.612728731899999</v>
      </c>
      <c r="P16" s="6">
        <v>61.945353703400002</v>
      </c>
      <c r="Q16" s="6">
        <v>60.843307832800001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1:55" x14ac:dyDescent="0.25">
      <c r="A17" s="1">
        <v>15</v>
      </c>
      <c r="B17" s="6">
        <v>62.031386534399999</v>
      </c>
      <c r="C17" s="6">
        <v>61.638771629899999</v>
      </c>
      <c r="D17" s="6">
        <v>63.398277071800003</v>
      </c>
      <c r="E17" s="6">
        <v>62.092147654100003</v>
      </c>
      <c r="F17" s="7">
        <v>9.0762331280699993</v>
      </c>
      <c r="G17" s="7">
        <v>14.3535537796</v>
      </c>
      <c r="H17" s="7">
        <v>9.1278092440199998</v>
      </c>
      <c r="I17" s="7">
        <v>18.066325827299998</v>
      </c>
      <c r="J17" s="7">
        <v>69.131332047900003</v>
      </c>
      <c r="K17" s="7">
        <v>68.536868659500001</v>
      </c>
      <c r="L17" s="7">
        <v>77.591146537</v>
      </c>
      <c r="M17" s="7">
        <v>73.526205273399995</v>
      </c>
      <c r="N17" s="6">
        <v>57.181529179199998</v>
      </c>
      <c r="O17" s="6">
        <v>57.589290272500001</v>
      </c>
      <c r="P17" s="6">
        <v>61.910104233399998</v>
      </c>
      <c r="Q17" s="6">
        <v>60.844812146400002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</row>
    <row r="18" spans="1:55" x14ac:dyDescent="0.25">
      <c r="A18" s="1">
        <v>16</v>
      </c>
      <c r="B18" s="6">
        <v>61.855801117600002</v>
      </c>
      <c r="C18" s="6">
        <v>62.728721820600001</v>
      </c>
      <c r="D18" s="6">
        <v>63.273088804700002</v>
      </c>
      <c r="E18" s="6">
        <v>62.6871855634</v>
      </c>
      <c r="F18" s="7">
        <v>9.2340931919500004</v>
      </c>
      <c r="G18" s="7">
        <v>13.1974120856</v>
      </c>
      <c r="H18" s="7">
        <v>9.1707858731199998</v>
      </c>
      <c r="I18" s="7">
        <v>17.4859225075</v>
      </c>
      <c r="J18" s="7">
        <v>69.155276563499996</v>
      </c>
      <c r="K18" s="7">
        <v>68.797202749199997</v>
      </c>
      <c r="L18" s="7">
        <v>77.582380076000007</v>
      </c>
      <c r="M18" s="7">
        <v>73.619724141800006</v>
      </c>
      <c r="N18" s="6">
        <v>57.159442909500001</v>
      </c>
      <c r="O18" s="6">
        <v>57.904253036199997</v>
      </c>
      <c r="P18" s="6">
        <v>61.870280844200003</v>
      </c>
      <c r="Q18" s="6">
        <v>61.000366467299997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</row>
    <row r="19" spans="1:55" x14ac:dyDescent="0.25">
      <c r="A19" s="1">
        <v>17</v>
      </c>
      <c r="B19" s="6">
        <v>61.680861383699998</v>
      </c>
      <c r="C19" s="6">
        <v>67.889965653299996</v>
      </c>
      <c r="D19" s="6">
        <v>63.197371405600002</v>
      </c>
      <c r="E19" s="6">
        <v>65.653001952899999</v>
      </c>
      <c r="F19" s="7">
        <v>9.3739411611999994</v>
      </c>
      <c r="G19" s="7">
        <v>16.346587518300002</v>
      </c>
      <c r="H19" s="7">
        <v>9.1314189668899992</v>
      </c>
      <c r="I19" s="7">
        <v>19.088183823800001</v>
      </c>
      <c r="J19" s="7">
        <v>69.182473880000003</v>
      </c>
      <c r="K19" s="7">
        <v>69.3491300827</v>
      </c>
      <c r="L19" s="7">
        <v>77.571099423000007</v>
      </c>
      <c r="M19" s="7">
        <v>73.813639526900005</v>
      </c>
      <c r="N19" s="6">
        <v>57.136346719700001</v>
      </c>
      <c r="O19" s="6">
        <v>60.424849993800002</v>
      </c>
      <c r="P19" s="6">
        <v>61.832786887799998</v>
      </c>
      <c r="Q19" s="6">
        <v>62.353750332200001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 spans="1:55" x14ac:dyDescent="0.25">
      <c r="A20" s="1">
        <v>18</v>
      </c>
      <c r="B20" s="6">
        <v>61.537368939099998</v>
      </c>
      <c r="C20" s="6">
        <v>70.351985565600003</v>
      </c>
      <c r="D20" s="6">
        <v>63.1613784671</v>
      </c>
      <c r="E20" s="6">
        <v>66.8860756001</v>
      </c>
      <c r="F20" s="7">
        <v>9.4710784205700005</v>
      </c>
      <c r="G20" s="7">
        <v>24.751156032000001</v>
      </c>
      <c r="H20" s="7">
        <v>9.0426133135200004</v>
      </c>
      <c r="I20" s="7">
        <v>24.1638671913</v>
      </c>
      <c r="J20" s="7">
        <v>69.201576706599994</v>
      </c>
      <c r="K20" s="7">
        <v>69.878337529800007</v>
      </c>
      <c r="L20" s="7">
        <v>77.558652004300001</v>
      </c>
      <c r="M20" s="7">
        <v>74.006109263499994</v>
      </c>
      <c r="N20" s="6">
        <v>57.112993166099997</v>
      </c>
      <c r="O20" s="6">
        <v>62.8591610832</v>
      </c>
      <c r="P20" s="6">
        <v>61.800246270300001</v>
      </c>
      <c r="Q20" s="6">
        <v>63.674230376300002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  <row r="21" spans="1:55" x14ac:dyDescent="0.25">
      <c r="A21" s="1">
        <v>19</v>
      </c>
      <c r="B21" s="6">
        <v>61.4347600997</v>
      </c>
      <c r="C21" s="6">
        <v>61.3419132107</v>
      </c>
      <c r="D21" s="6">
        <v>63.146831674200001</v>
      </c>
      <c r="E21" s="6">
        <v>61.922735616499999</v>
      </c>
      <c r="F21" s="7">
        <v>9.5183623928600003</v>
      </c>
      <c r="G21" s="7">
        <v>23.821729317199999</v>
      </c>
      <c r="H21" s="7">
        <v>8.9399930566800005</v>
      </c>
      <c r="I21" s="7">
        <v>23.9167427603</v>
      </c>
      <c r="J21" s="7">
        <v>69.207358013800004</v>
      </c>
      <c r="K21" s="7">
        <v>69.862624981699994</v>
      </c>
      <c r="L21" s="7">
        <v>77.546587238000001</v>
      </c>
      <c r="M21" s="7">
        <v>74.0133803847</v>
      </c>
      <c r="N21" s="6">
        <v>57.088798870399998</v>
      </c>
      <c r="O21" s="6">
        <v>59.662798241499999</v>
      </c>
      <c r="P21" s="6">
        <v>61.772937965899999</v>
      </c>
      <c r="Q21" s="6">
        <v>61.963617705700003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</row>
    <row r="22" spans="1:55" x14ac:dyDescent="0.25">
      <c r="A22" s="1">
        <v>20</v>
      </c>
      <c r="B22" s="6">
        <v>61.368303291399997</v>
      </c>
      <c r="C22" s="6">
        <v>59.508897729700003</v>
      </c>
      <c r="D22" s="6">
        <v>63.135641865099998</v>
      </c>
      <c r="E22" s="6">
        <v>60.678715552299998</v>
      </c>
      <c r="F22" s="7">
        <v>9.5218674628599995</v>
      </c>
      <c r="G22" s="7">
        <v>20.4753580858</v>
      </c>
      <c r="H22" s="7">
        <v>8.8524999946400005</v>
      </c>
      <c r="I22" s="7">
        <v>21.969834022200001</v>
      </c>
      <c r="J22" s="7">
        <v>69.199721895400003</v>
      </c>
      <c r="K22" s="7">
        <v>69.411636621599996</v>
      </c>
      <c r="L22" s="7">
        <v>77.536188729200006</v>
      </c>
      <c r="M22" s="7">
        <v>73.862162889499999</v>
      </c>
      <c r="N22" s="6">
        <v>57.063085139999998</v>
      </c>
      <c r="O22" s="6">
        <v>58.284813012900003</v>
      </c>
      <c r="P22" s="6">
        <v>61.750007902999997</v>
      </c>
      <c r="Q22" s="6">
        <v>61.157950311699999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</row>
    <row r="23" spans="1:55" x14ac:dyDescent="0.25">
      <c r="A23" s="1">
        <v>21</v>
      </c>
      <c r="B23" s="6">
        <v>61.326299558700001</v>
      </c>
      <c r="C23" s="6">
        <v>59.5650052059</v>
      </c>
      <c r="D23" s="6">
        <v>63.11483398</v>
      </c>
      <c r="E23" s="6">
        <v>60.657198714899998</v>
      </c>
      <c r="F23" s="7">
        <v>9.4952262154400007</v>
      </c>
      <c r="G23" s="7">
        <v>18.549653816199999</v>
      </c>
      <c r="H23" s="7">
        <v>8.7972384524099994</v>
      </c>
      <c r="I23" s="7">
        <v>20.8886571215</v>
      </c>
      <c r="J23" s="7">
        <v>69.181955772199998</v>
      </c>
      <c r="K23" s="7">
        <v>68.909929705500005</v>
      </c>
      <c r="L23" s="7">
        <v>77.528198880700003</v>
      </c>
      <c r="M23" s="7">
        <v>73.682662905699999</v>
      </c>
      <c r="N23" s="6">
        <v>57.035727750500001</v>
      </c>
      <c r="O23" s="6">
        <v>57.744814304499997</v>
      </c>
      <c r="P23" s="6">
        <v>61.730172225300002</v>
      </c>
      <c r="Q23" s="6">
        <v>60.888321855199997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</row>
    <row r="24" spans="1:55" x14ac:dyDescent="0.25">
      <c r="A24" s="1">
        <v>22</v>
      </c>
      <c r="B24" s="6">
        <v>61.295652200500001</v>
      </c>
      <c r="C24" s="6">
        <v>60.192257555099999</v>
      </c>
      <c r="D24" s="6">
        <v>63.078202441199998</v>
      </c>
      <c r="E24" s="6">
        <v>60.954044932899997</v>
      </c>
      <c r="F24" s="7">
        <v>9.4541618067800002</v>
      </c>
      <c r="G24" s="7">
        <v>16.529919895300001</v>
      </c>
      <c r="H24" s="7">
        <v>8.7787195177499999</v>
      </c>
      <c r="I24" s="7">
        <v>19.950463271499999</v>
      </c>
      <c r="J24" s="7">
        <v>69.158834447900006</v>
      </c>
      <c r="K24" s="7">
        <v>68.562822230199998</v>
      </c>
      <c r="L24" s="7">
        <v>77.522757270200003</v>
      </c>
      <c r="M24" s="7">
        <v>73.544454644799998</v>
      </c>
      <c r="N24" s="6">
        <v>57.007212184399997</v>
      </c>
      <c r="O24" s="6">
        <v>57.460432129899999</v>
      </c>
      <c r="P24" s="6">
        <v>61.712124672199998</v>
      </c>
      <c r="Q24" s="6">
        <v>60.769664818499997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</row>
    <row r="25" spans="1:55" x14ac:dyDescent="0.25">
      <c r="A25" s="1">
        <v>23</v>
      </c>
      <c r="B25" s="6">
        <v>61.2653936492</v>
      </c>
      <c r="C25" s="6">
        <v>61.131882750800003</v>
      </c>
      <c r="D25" s="6">
        <v>63.025614672700002</v>
      </c>
      <c r="E25" s="6">
        <v>61.350273322900001</v>
      </c>
      <c r="F25" s="7">
        <v>9.4123231599199997</v>
      </c>
      <c r="G25" s="7">
        <v>14.6875716384</v>
      </c>
      <c r="H25" s="7">
        <v>8.7914042627499995</v>
      </c>
      <c r="I25" s="7">
        <v>18.9534596128</v>
      </c>
      <c r="J25" s="7">
        <v>69.1350257924</v>
      </c>
      <c r="K25" s="7">
        <v>68.487850314799999</v>
      </c>
      <c r="L25" s="7">
        <v>77.519509493499996</v>
      </c>
      <c r="M25" s="7">
        <v>73.484277112100003</v>
      </c>
      <c r="N25" s="6">
        <v>56.978358622000002</v>
      </c>
      <c r="O25" s="6">
        <v>57.446691040499999</v>
      </c>
      <c r="P25" s="6">
        <v>61.694760924100002</v>
      </c>
      <c r="Q25" s="6">
        <v>60.714474749399997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5" x14ac:dyDescent="0.25">
      <c r="A26" s="1">
        <v>24</v>
      </c>
      <c r="B26" s="6">
        <v>61.228342310999999</v>
      </c>
      <c r="C26" s="6">
        <v>62.217476468000001</v>
      </c>
      <c r="D26" s="6">
        <v>62.961020444100001</v>
      </c>
      <c r="E26" s="6">
        <v>61.849400362099999</v>
      </c>
      <c r="F26" s="7">
        <v>9.3789484699999992</v>
      </c>
      <c r="G26" s="7">
        <v>13.538926405</v>
      </c>
      <c r="H26" s="7">
        <v>8.8239086654700003</v>
      </c>
      <c r="I26" s="7">
        <v>18.197840540400001</v>
      </c>
      <c r="J26" s="7">
        <v>69.114050028700007</v>
      </c>
      <c r="K26" s="7">
        <v>68.728323430900005</v>
      </c>
      <c r="L26" s="7">
        <v>77.517809397999997</v>
      </c>
      <c r="M26" s="7">
        <v>73.521577681799997</v>
      </c>
      <c r="N26" s="6">
        <v>56.949985422499999</v>
      </c>
      <c r="O26" s="6">
        <v>57.751377208699999</v>
      </c>
      <c r="P26" s="6">
        <v>61.6772775727</v>
      </c>
      <c r="Q26" s="6">
        <v>60.781485266399997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1:55" x14ac:dyDescent="0.25">
      <c r="A27" s="1">
        <v>25</v>
      </c>
      <c r="B27" s="6">
        <v>61.181310539099997</v>
      </c>
      <c r="C27" s="6">
        <v>66.6604570346</v>
      </c>
      <c r="D27" s="6">
        <v>62.890125472500003</v>
      </c>
      <c r="E27" s="6">
        <v>62.436575257900003</v>
      </c>
      <c r="F27" s="7">
        <v>9.3583003311299997</v>
      </c>
      <c r="G27" s="7">
        <v>15.7893071028</v>
      </c>
      <c r="H27" s="7">
        <v>8.8633501042299994</v>
      </c>
      <c r="I27" s="7">
        <v>17.962480988900001</v>
      </c>
      <c r="J27" s="7">
        <v>69.097846022699997</v>
      </c>
      <c r="K27" s="7">
        <v>69.249428133199999</v>
      </c>
      <c r="L27" s="7">
        <v>77.516936650999995</v>
      </c>
      <c r="M27" s="7">
        <v>73.654438799199994</v>
      </c>
      <c r="N27" s="6">
        <v>56.922671094999998</v>
      </c>
      <c r="O27" s="6">
        <v>59.871082966000003</v>
      </c>
      <c r="P27" s="6">
        <v>61.659188033500001</v>
      </c>
      <c r="Q27" s="6">
        <v>61.009083901899999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</row>
    <row r="28" spans="1:55" x14ac:dyDescent="0.25">
      <c r="A28" s="1">
        <v>26</v>
      </c>
      <c r="B28" s="6">
        <v>61.124371275000001</v>
      </c>
      <c r="C28" s="6">
        <v>69.745780374399999</v>
      </c>
      <c r="D28" s="6">
        <v>62.818412634200001</v>
      </c>
      <c r="E28" s="6">
        <v>65.719916237800007</v>
      </c>
      <c r="F28" s="7">
        <v>9.3504109352900002</v>
      </c>
      <c r="G28" s="7">
        <v>23.8412288229</v>
      </c>
      <c r="H28" s="7">
        <v>8.8987822568099997</v>
      </c>
      <c r="I28" s="7">
        <v>21.014122761100001</v>
      </c>
      <c r="J28" s="7">
        <v>69.086842504000003</v>
      </c>
      <c r="K28" s="7">
        <v>69.787828159699998</v>
      </c>
      <c r="L28" s="7">
        <v>77.516272177999994</v>
      </c>
      <c r="M28" s="7">
        <v>73.850825386899999</v>
      </c>
      <c r="N28" s="6">
        <v>56.896661219800002</v>
      </c>
      <c r="O28" s="6">
        <v>62.464265433999998</v>
      </c>
      <c r="P28" s="6">
        <v>61.640289533800001</v>
      </c>
      <c r="Q28" s="6">
        <v>62.7014390999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</row>
    <row r="29" spans="1:55" x14ac:dyDescent="0.25">
      <c r="A29" s="1">
        <v>27</v>
      </c>
      <c r="B29" s="6">
        <v>61.0596789493</v>
      </c>
      <c r="C29" s="6">
        <v>61.233890511600002</v>
      </c>
      <c r="D29" s="6">
        <v>62.749860493500002</v>
      </c>
      <c r="E29" s="6">
        <v>64.190262602600001</v>
      </c>
      <c r="F29" s="7">
        <v>9.3525192150999992</v>
      </c>
      <c r="G29" s="7">
        <v>24.118774794</v>
      </c>
      <c r="H29" s="7">
        <v>8.9232064353599991</v>
      </c>
      <c r="I29" s="7">
        <v>24.4681596882</v>
      </c>
      <c r="J29" s="7">
        <v>69.080348192900004</v>
      </c>
      <c r="K29" s="7">
        <v>69.831404301899994</v>
      </c>
      <c r="L29" s="7">
        <v>77.5154020688</v>
      </c>
      <c r="M29" s="7">
        <v>73.977708160800006</v>
      </c>
      <c r="N29" s="6">
        <v>56.871895578100002</v>
      </c>
      <c r="O29" s="6">
        <v>59.6578813952</v>
      </c>
      <c r="P29" s="6">
        <v>61.620602941800001</v>
      </c>
      <c r="Q29" s="6">
        <v>62.798594034300002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</row>
    <row r="30" spans="1:55" x14ac:dyDescent="0.25">
      <c r="A30" s="1">
        <v>28</v>
      </c>
      <c r="B30" s="6">
        <v>60.990253365400001</v>
      </c>
      <c r="C30" s="6">
        <v>59.1226260432</v>
      </c>
      <c r="D30" s="6">
        <v>62.686421602899998</v>
      </c>
      <c r="E30" s="6">
        <v>60.899236911700001</v>
      </c>
      <c r="F30" s="7">
        <v>9.3606353475800006</v>
      </c>
      <c r="G30" s="7">
        <v>20.797453059399999</v>
      </c>
      <c r="H30" s="7">
        <v>8.9341117812699995</v>
      </c>
      <c r="I30" s="7">
        <v>23.013599092700002</v>
      </c>
      <c r="J30" s="7">
        <v>69.077063355899995</v>
      </c>
      <c r="K30" s="7">
        <v>69.415166726799995</v>
      </c>
      <c r="L30" s="7">
        <v>77.514146100000005</v>
      </c>
      <c r="M30" s="7">
        <v>73.920793801399995</v>
      </c>
      <c r="N30" s="6">
        <v>56.848104183899999</v>
      </c>
      <c r="O30" s="6">
        <v>58.207476770600003</v>
      </c>
      <c r="P30" s="6">
        <v>61.600297007099996</v>
      </c>
      <c r="Q30" s="6">
        <v>61.427932959099998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</row>
    <row r="31" spans="1:55" x14ac:dyDescent="0.25">
      <c r="A31" s="1">
        <v>29</v>
      </c>
      <c r="B31" s="6">
        <v>60.9190008717</v>
      </c>
      <c r="C31" s="6">
        <v>59.047288724799998</v>
      </c>
      <c r="D31" s="6">
        <v>62.628133420200001</v>
      </c>
      <c r="E31" s="6">
        <v>60.210343125599998</v>
      </c>
      <c r="F31" s="7">
        <v>9.3708391320299995</v>
      </c>
      <c r="G31" s="7">
        <v>18.892010662800001</v>
      </c>
      <c r="H31" s="7">
        <v>8.9328285511800001</v>
      </c>
      <c r="I31" s="7">
        <v>21.7151664308</v>
      </c>
      <c r="J31" s="7">
        <v>69.075555382700003</v>
      </c>
      <c r="K31" s="7">
        <v>68.913940167999996</v>
      </c>
      <c r="L31" s="7">
        <v>77.512525290900001</v>
      </c>
      <c r="M31" s="7">
        <v>73.762232310200005</v>
      </c>
      <c r="N31" s="6">
        <v>56.824922942999997</v>
      </c>
      <c r="O31" s="6">
        <v>57.626585057200003</v>
      </c>
      <c r="P31" s="6">
        <v>61.579606575100001</v>
      </c>
      <c r="Q31" s="6">
        <v>60.9090668455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</row>
    <row r="32" spans="1:55" x14ac:dyDescent="0.25">
      <c r="A32" s="1">
        <v>30</v>
      </c>
      <c r="B32" s="6">
        <v>60.848101759400002</v>
      </c>
      <c r="C32" s="6">
        <v>59.612827842599998</v>
      </c>
      <c r="D32" s="6">
        <v>62.573642798999998</v>
      </c>
      <c r="E32" s="6">
        <v>60.283147302300002</v>
      </c>
      <c r="F32" s="7">
        <v>9.3801180209700004</v>
      </c>
      <c r="G32" s="7">
        <v>16.915482754100001</v>
      </c>
      <c r="H32" s="7">
        <v>8.9231637588399995</v>
      </c>
      <c r="I32" s="7">
        <v>20.8234335462</v>
      </c>
      <c r="J32" s="7">
        <v>69.074604048200001</v>
      </c>
      <c r="K32" s="7">
        <v>68.542361769400003</v>
      </c>
      <c r="L32" s="7">
        <v>77.510692684099993</v>
      </c>
      <c r="M32" s="7">
        <v>73.597893385399999</v>
      </c>
      <c r="N32" s="6">
        <v>56.801994059800002</v>
      </c>
      <c r="O32" s="6">
        <v>57.315930260899997</v>
      </c>
      <c r="P32" s="6">
        <v>61.558757689300002</v>
      </c>
      <c r="Q32" s="6">
        <v>60.7090389074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</row>
    <row r="33" spans="1:55" x14ac:dyDescent="0.25">
      <c r="A33" s="1">
        <v>31</v>
      </c>
      <c r="B33" s="6">
        <v>60.778769627099997</v>
      </c>
      <c r="C33" s="6">
        <v>60.520857708400001</v>
      </c>
      <c r="D33" s="6">
        <v>62.520906712699997</v>
      </c>
      <c r="E33" s="6">
        <v>60.5428879002</v>
      </c>
      <c r="F33" s="7">
        <v>9.3867199158099996</v>
      </c>
      <c r="G33" s="7">
        <v>15.0329499166</v>
      </c>
      <c r="H33" s="7">
        <v>8.9098288923400002</v>
      </c>
      <c r="I33" s="7">
        <v>19.875977927600001</v>
      </c>
      <c r="J33" s="7">
        <v>69.073384312599998</v>
      </c>
      <c r="K33" s="7">
        <v>68.4260473609</v>
      </c>
      <c r="L33" s="7">
        <v>77.508853381899996</v>
      </c>
      <c r="M33" s="7">
        <v>73.480755826500001</v>
      </c>
      <c r="N33" s="6">
        <v>56.779032985900002</v>
      </c>
      <c r="O33" s="6">
        <v>57.264320222499997</v>
      </c>
      <c r="P33" s="6">
        <v>61.537913678700001</v>
      </c>
      <c r="Q33" s="6">
        <v>60.586994613800002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</row>
    <row r="34" spans="1:55" x14ac:dyDescent="0.25">
      <c r="A34" s="1">
        <v>32</v>
      </c>
      <c r="B34" s="6">
        <v>60.7113065765</v>
      </c>
      <c r="C34" s="6">
        <v>61.602189840400001</v>
      </c>
      <c r="D34" s="6">
        <v>62.467862523699999</v>
      </c>
      <c r="E34" s="6">
        <v>60.920905654000002</v>
      </c>
      <c r="F34" s="7">
        <v>9.3901096293999995</v>
      </c>
      <c r="G34" s="7">
        <v>13.748102149199999</v>
      </c>
      <c r="H34" s="7">
        <v>8.8970857625199997</v>
      </c>
      <c r="I34" s="7">
        <v>18.918795919000001</v>
      </c>
      <c r="J34" s="7">
        <v>69.071501674199993</v>
      </c>
      <c r="K34" s="7">
        <v>68.619367569800005</v>
      </c>
      <c r="L34" s="7">
        <v>77.507195407899999</v>
      </c>
      <c r="M34" s="7">
        <v>73.442800689600006</v>
      </c>
      <c r="N34" s="6">
        <v>56.755857918799997</v>
      </c>
      <c r="O34" s="6">
        <v>57.522161478299999</v>
      </c>
      <c r="P34" s="6">
        <v>61.517151119399998</v>
      </c>
      <c r="Q34" s="6">
        <v>60.543181918000002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</row>
    <row r="35" spans="1:55" x14ac:dyDescent="0.25">
      <c r="A35" s="1">
        <v>33</v>
      </c>
      <c r="B35" s="6">
        <v>60.645340913699997</v>
      </c>
      <c r="C35" s="6">
        <v>65.091853721600003</v>
      </c>
      <c r="D35" s="6">
        <v>62.412922664299998</v>
      </c>
      <c r="E35" s="6">
        <v>61.413366809700001</v>
      </c>
      <c r="F35" s="7">
        <v>9.3906730499699993</v>
      </c>
      <c r="G35" s="7">
        <v>14.7192770599</v>
      </c>
      <c r="H35" s="7">
        <v>8.88787240053</v>
      </c>
      <c r="I35" s="7">
        <v>18.240817223400001</v>
      </c>
      <c r="J35" s="7">
        <v>69.0689223121</v>
      </c>
      <c r="K35" s="7">
        <v>69.101381692499999</v>
      </c>
      <c r="L35" s="7">
        <v>77.5058446476</v>
      </c>
      <c r="M35" s="7">
        <v>73.499765908499995</v>
      </c>
      <c r="N35" s="6">
        <v>56.732387785999997</v>
      </c>
      <c r="O35" s="6">
        <v>59.0969735961</v>
      </c>
      <c r="P35" s="6">
        <v>61.496465031699998</v>
      </c>
      <c r="Q35" s="6">
        <v>60.630194434000003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</row>
    <row r="36" spans="1:55" x14ac:dyDescent="0.25">
      <c r="A36" s="1">
        <v>34</v>
      </c>
      <c r="B36" s="6">
        <v>60.580133720200003</v>
      </c>
      <c r="C36" s="6">
        <v>69.544024665699993</v>
      </c>
      <c r="D36" s="6">
        <v>62.355225136999998</v>
      </c>
      <c r="E36" s="6">
        <v>62.385889808500004</v>
      </c>
      <c r="F36" s="7">
        <v>9.3893189331899993</v>
      </c>
      <c r="G36" s="7">
        <v>22.552705263</v>
      </c>
      <c r="H36" s="7">
        <v>8.8834845779599991</v>
      </c>
      <c r="I36" s="7">
        <v>18.131278738900001</v>
      </c>
      <c r="J36" s="7">
        <v>69.065848862300001</v>
      </c>
      <c r="K36" s="7">
        <v>69.675146757600004</v>
      </c>
      <c r="L36" s="7">
        <v>77.504847807000004</v>
      </c>
      <c r="M36" s="7">
        <v>73.646317987800003</v>
      </c>
      <c r="N36" s="6">
        <v>56.708619812999999</v>
      </c>
      <c r="O36" s="6">
        <v>62.134466677799999</v>
      </c>
      <c r="P36" s="6">
        <v>61.475794171499999</v>
      </c>
      <c r="Q36" s="6">
        <v>61.014743890200002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</row>
    <row r="37" spans="1:55" x14ac:dyDescent="0.25">
      <c r="A37" s="1">
        <v>35</v>
      </c>
      <c r="B37" s="6">
        <v>60.514864378799999</v>
      </c>
      <c r="C37" s="6">
        <v>61.544511300099998</v>
      </c>
      <c r="D37" s="6">
        <v>62.294645300100001</v>
      </c>
      <c r="E37" s="6">
        <v>65.223624537899994</v>
      </c>
      <c r="F37" s="7">
        <v>9.3871002093999998</v>
      </c>
      <c r="G37" s="7">
        <v>24.912498584400002</v>
      </c>
      <c r="H37" s="7">
        <v>8.8837334631299996</v>
      </c>
      <c r="I37" s="7">
        <v>21.581674016000001</v>
      </c>
      <c r="J37" s="7">
        <v>69.0625873523</v>
      </c>
      <c r="K37" s="7">
        <v>69.829042304599994</v>
      </c>
      <c r="L37" s="7">
        <v>77.504179536300001</v>
      </c>
      <c r="M37" s="7">
        <v>73.843306025000004</v>
      </c>
      <c r="N37" s="6">
        <v>56.684598643199998</v>
      </c>
      <c r="O37" s="6">
        <v>59.887785110400003</v>
      </c>
      <c r="P37" s="6">
        <v>61.455053673899997</v>
      </c>
      <c r="Q37" s="6">
        <v>62.620460155099998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x14ac:dyDescent="0.25">
      <c r="A38" s="1">
        <v>36</v>
      </c>
      <c r="B38" s="6">
        <v>60.448839773800003</v>
      </c>
      <c r="C38" s="6">
        <v>58.647585646099998</v>
      </c>
      <c r="D38" s="6">
        <v>62.231629629799997</v>
      </c>
      <c r="E38" s="6">
        <v>62.835176418400003</v>
      </c>
      <c r="F38" s="7">
        <v>9.3849316053600003</v>
      </c>
      <c r="G38" s="7">
        <v>21.254262375500002</v>
      </c>
      <c r="H38" s="7">
        <v>8.8874079477100008</v>
      </c>
      <c r="I38" s="7">
        <v>24.385819464000001</v>
      </c>
      <c r="J38" s="7">
        <v>69.059437420600005</v>
      </c>
      <c r="K38" s="7">
        <v>69.470419899600003</v>
      </c>
      <c r="L38" s="7">
        <v>77.503765159099999</v>
      </c>
      <c r="M38" s="7">
        <v>73.950271883499994</v>
      </c>
      <c r="N38" s="6">
        <v>56.660386744599997</v>
      </c>
      <c r="O38" s="6">
        <v>58.147654953500002</v>
      </c>
      <c r="P38" s="6">
        <v>61.434163945800002</v>
      </c>
      <c r="Q38" s="6">
        <v>62.314386372599998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1:55" x14ac:dyDescent="0.25">
      <c r="A39" s="1">
        <v>37</v>
      </c>
      <c r="B39" s="6">
        <v>60.381606699099997</v>
      </c>
      <c r="C39" s="6">
        <v>58.377881555099997</v>
      </c>
      <c r="D39" s="6">
        <v>62.166938899100003</v>
      </c>
      <c r="E39" s="6">
        <v>60.126779729399999</v>
      </c>
      <c r="F39" s="7">
        <v>9.3834334005900004</v>
      </c>
      <c r="G39" s="7">
        <v>19.2673356711</v>
      </c>
      <c r="H39" s="7">
        <v>8.8928465445999993</v>
      </c>
      <c r="I39" s="7">
        <v>22.836669065199999</v>
      </c>
      <c r="J39" s="7">
        <v>69.056622025999999</v>
      </c>
      <c r="K39" s="7">
        <v>68.970900767700002</v>
      </c>
      <c r="L39" s="7">
        <v>77.503509146900001</v>
      </c>
      <c r="M39" s="7">
        <v>73.879490699399994</v>
      </c>
      <c r="N39" s="6">
        <v>56.636042100899999</v>
      </c>
      <c r="O39" s="6">
        <v>57.489067759900003</v>
      </c>
      <c r="P39" s="6">
        <v>61.413069312200001</v>
      </c>
      <c r="Q39" s="6">
        <v>61.118313942699999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1:55" x14ac:dyDescent="0.25">
      <c r="A40" s="1">
        <v>38</v>
      </c>
      <c r="B40" s="6">
        <v>60.312974754899997</v>
      </c>
      <c r="C40" s="6">
        <v>58.903653844700003</v>
      </c>
      <c r="D40" s="6">
        <v>62.101386479399999</v>
      </c>
      <c r="E40" s="6">
        <v>59.569405003200004</v>
      </c>
      <c r="F40" s="7">
        <v>9.3828931926300001</v>
      </c>
      <c r="G40" s="7">
        <v>17.329785906200001</v>
      </c>
      <c r="H40" s="7">
        <v>8.8984537698799997</v>
      </c>
      <c r="I40" s="7">
        <v>21.6533081143</v>
      </c>
      <c r="J40" s="7">
        <v>69.054258694200001</v>
      </c>
      <c r="K40" s="7">
        <v>68.568969274799997</v>
      </c>
      <c r="L40" s="7">
        <v>77.503320929699996</v>
      </c>
      <c r="M40" s="7">
        <v>73.721918954700001</v>
      </c>
      <c r="N40" s="6">
        <v>56.611605378699998</v>
      </c>
      <c r="O40" s="6">
        <v>57.155912548899998</v>
      </c>
      <c r="P40" s="6">
        <v>61.391744845200002</v>
      </c>
      <c r="Q40" s="6">
        <v>60.662635439699997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1:55" x14ac:dyDescent="0.25">
      <c r="A41" s="1">
        <v>39</v>
      </c>
      <c r="B41" s="6">
        <v>60.242974147699996</v>
      </c>
      <c r="C41" s="6">
        <v>59.8097851144</v>
      </c>
      <c r="D41" s="6">
        <v>62.035635213600003</v>
      </c>
      <c r="E41" s="6">
        <v>59.687447987500001</v>
      </c>
      <c r="F41" s="7">
        <v>9.3833141304699996</v>
      </c>
      <c r="G41" s="7">
        <v>15.4018738301</v>
      </c>
      <c r="H41" s="7">
        <v>8.9030560038700006</v>
      </c>
      <c r="I41" s="7">
        <v>20.7945589467</v>
      </c>
      <c r="J41" s="7">
        <v>69.052364482100003</v>
      </c>
      <c r="K41" s="7">
        <v>68.402238194399999</v>
      </c>
      <c r="L41" s="7">
        <v>77.503132661999999</v>
      </c>
      <c r="M41" s="7">
        <v>73.564617624099995</v>
      </c>
      <c r="N41" s="6">
        <v>56.587095860200002</v>
      </c>
      <c r="O41" s="6">
        <v>57.071060427299997</v>
      </c>
      <c r="P41" s="6">
        <v>61.370193370800003</v>
      </c>
      <c r="Q41" s="6">
        <v>60.486664331500002</v>
      </c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x14ac:dyDescent="0.25">
      <c r="A42" s="1">
        <v>40</v>
      </c>
      <c r="B42" s="6">
        <v>60.171779059099997</v>
      </c>
      <c r="C42" s="6">
        <v>60.913682792099998</v>
      </c>
      <c r="D42" s="6">
        <v>61.970084878999998</v>
      </c>
      <c r="E42" s="6">
        <v>59.969889444300001</v>
      </c>
      <c r="F42" s="7">
        <v>9.3845096030599997</v>
      </c>
      <c r="G42" s="7">
        <v>13.971298861799999</v>
      </c>
      <c r="H42" s="7">
        <v>8.9060588953900002</v>
      </c>
      <c r="I42" s="7">
        <v>19.842562217899999</v>
      </c>
      <c r="J42" s="7">
        <v>69.050882038599994</v>
      </c>
      <c r="K42" s="7">
        <v>68.538754471199994</v>
      </c>
      <c r="L42" s="7">
        <v>77.502906985999999</v>
      </c>
      <c r="M42" s="7">
        <v>73.456720946299995</v>
      </c>
      <c r="N42" s="6">
        <v>56.562513765299997</v>
      </c>
      <c r="O42" s="6">
        <v>57.2847359939</v>
      </c>
      <c r="P42" s="6">
        <v>61.348436440699999</v>
      </c>
      <c r="Q42" s="6">
        <v>60.376210711699997</v>
      </c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1:55" x14ac:dyDescent="0.25">
      <c r="A43" s="1">
        <v>41</v>
      </c>
      <c r="B43" s="6">
        <v>60.0996247418</v>
      </c>
      <c r="C43" s="6">
        <v>63.408278347900001</v>
      </c>
      <c r="D43" s="6">
        <v>61.904852034299999</v>
      </c>
      <c r="E43" s="6">
        <v>60.374686805400003</v>
      </c>
      <c r="F43" s="7">
        <v>9.3862076868400006</v>
      </c>
      <c r="G43" s="7">
        <v>13.8793916403</v>
      </c>
      <c r="H43" s="7">
        <v>8.9074250883600001</v>
      </c>
      <c r="I43" s="7">
        <v>18.904413653599999</v>
      </c>
      <c r="J43" s="7">
        <v>69.049713756800003</v>
      </c>
      <c r="K43" s="7">
        <v>68.971663016400001</v>
      </c>
      <c r="L43" s="7">
        <v>77.502635732200005</v>
      </c>
      <c r="M43" s="7">
        <v>73.4287525716</v>
      </c>
      <c r="N43" s="6">
        <v>56.537846085300004</v>
      </c>
      <c r="O43" s="6">
        <v>58.329904490700002</v>
      </c>
      <c r="P43" s="6">
        <v>61.3265033339</v>
      </c>
      <c r="Q43" s="6">
        <v>60.349490979800002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1:55" x14ac:dyDescent="0.25">
      <c r="A44" s="1">
        <v>42</v>
      </c>
      <c r="B44" s="6">
        <v>60.026738614999999</v>
      </c>
      <c r="C44" s="6">
        <v>68.909801491600007</v>
      </c>
      <c r="D44" s="6">
        <v>61.839821879600002</v>
      </c>
      <c r="E44" s="6">
        <v>60.888764586199997</v>
      </c>
      <c r="F44" s="7">
        <v>9.3881389906300008</v>
      </c>
      <c r="G44" s="7">
        <v>21.022861630000001</v>
      </c>
      <c r="H44" s="7">
        <v>8.9075275667200007</v>
      </c>
      <c r="I44" s="7">
        <v>18.265120300900001</v>
      </c>
      <c r="J44" s="7">
        <v>69.048753659599996</v>
      </c>
      <c r="K44" s="7">
        <v>69.563531355500004</v>
      </c>
      <c r="L44" s="7">
        <v>77.502332358199993</v>
      </c>
      <c r="M44" s="7">
        <v>73.494786487200003</v>
      </c>
      <c r="N44" s="6">
        <v>56.513073356200003</v>
      </c>
      <c r="O44" s="6">
        <v>61.620871239099998</v>
      </c>
      <c r="P44" s="6">
        <v>61.304421420499999</v>
      </c>
      <c r="Q44" s="6">
        <v>60.454518232200002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spans="1:55" x14ac:dyDescent="0.25">
      <c r="A45" s="1">
        <v>43</v>
      </c>
      <c r="B45" s="6">
        <v>59.953295862799997</v>
      </c>
      <c r="C45" s="6">
        <v>63.093037070999998</v>
      </c>
      <c r="D45" s="6">
        <v>61.774740477100003</v>
      </c>
      <c r="E45" s="6">
        <v>62.078044851800001</v>
      </c>
      <c r="F45" s="7">
        <v>9.3900941739300006</v>
      </c>
      <c r="G45" s="7">
        <v>25.5045082687</v>
      </c>
      <c r="H45" s="7">
        <v>8.9069475656999995</v>
      </c>
      <c r="I45" s="7">
        <v>18.261687443300001</v>
      </c>
      <c r="J45" s="7">
        <v>69.0479106879</v>
      </c>
      <c r="K45" s="7">
        <v>69.832300560600004</v>
      </c>
      <c r="L45" s="7">
        <v>77.502021611800004</v>
      </c>
      <c r="M45" s="7">
        <v>73.6478284035</v>
      </c>
      <c r="N45" s="6">
        <v>56.488175550500003</v>
      </c>
      <c r="O45" s="6">
        <v>60.506179991300002</v>
      </c>
      <c r="P45" s="6">
        <v>61.282209929300002</v>
      </c>
      <c r="Q45" s="6">
        <v>60.932362974599997</v>
      </c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x14ac:dyDescent="0.25">
      <c r="A46" s="1">
        <v>44</v>
      </c>
      <c r="B46" s="6">
        <v>59.8794011747</v>
      </c>
      <c r="C46" s="6">
        <v>58.186983022299998</v>
      </c>
      <c r="D46" s="6">
        <v>61.709314807399998</v>
      </c>
      <c r="E46" s="6">
        <v>64.667271860499994</v>
      </c>
      <c r="F46" s="7">
        <v>9.3919487664899997</v>
      </c>
      <c r="G46" s="7">
        <v>21.811204262699999</v>
      </c>
      <c r="H46" s="7">
        <v>8.9062798729899999</v>
      </c>
      <c r="I46" s="7">
        <v>21.8915744635</v>
      </c>
      <c r="J46" s="7">
        <v>69.047121127200001</v>
      </c>
      <c r="K46" s="7">
        <v>69.548194237600001</v>
      </c>
      <c r="L46" s="7">
        <v>77.501729588700002</v>
      </c>
      <c r="M46" s="7">
        <v>73.844512674599997</v>
      </c>
      <c r="N46" s="6">
        <v>56.4631361191</v>
      </c>
      <c r="O46" s="6">
        <v>58.1199731695</v>
      </c>
      <c r="P46" s="6">
        <v>61.259877735499998</v>
      </c>
      <c r="Q46" s="6">
        <v>62.482617619999999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spans="1:55" x14ac:dyDescent="0.25">
      <c r="A47" s="1">
        <v>45</v>
      </c>
      <c r="B47" s="6">
        <v>59.805091967700001</v>
      </c>
      <c r="C47" s="6">
        <v>57.633987317100001</v>
      </c>
      <c r="D47" s="6">
        <v>61.643295035000001</v>
      </c>
      <c r="E47" s="6">
        <v>61.775319493700003</v>
      </c>
      <c r="F47" s="7">
        <v>9.3936609227200005</v>
      </c>
      <c r="G47" s="7">
        <v>19.6570677795</v>
      </c>
      <c r="H47" s="7">
        <v>8.9059891964000002</v>
      </c>
      <c r="I47" s="7">
        <v>24.364571915599999</v>
      </c>
      <c r="J47" s="7">
        <v>69.046351078800001</v>
      </c>
      <c r="K47" s="7">
        <v>69.054748119899998</v>
      </c>
      <c r="L47" s="7">
        <v>77.501476387699995</v>
      </c>
      <c r="M47" s="7">
        <v>73.940692492599993</v>
      </c>
      <c r="N47" s="6">
        <v>56.437943965700001</v>
      </c>
      <c r="O47" s="6">
        <v>57.342241657400002</v>
      </c>
      <c r="P47" s="6">
        <v>61.237424574199999</v>
      </c>
      <c r="Q47" s="6">
        <v>61.948517539199997</v>
      </c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spans="1:55" x14ac:dyDescent="0.25">
      <c r="A48" s="1">
        <v>46</v>
      </c>
      <c r="B48" s="6">
        <v>59.730355250899997</v>
      </c>
      <c r="C48" s="6">
        <v>58.114236279399996</v>
      </c>
      <c r="D48" s="6">
        <v>61.576524375399998</v>
      </c>
      <c r="E48" s="6">
        <v>59.326450751300001</v>
      </c>
      <c r="F48" s="7">
        <v>9.3952517887999996</v>
      </c>
      <c r="G48" s="7">
        <v>17.7677679271</v>
      </c>
      <c r="H48" s="7">
        <v>8.9063371252499994</v>
      </c>
      <c r="I48" s="7">
        <v>22.782931920500001</v>
      </c>
      <c r="J48" s="7">
        <v>69.045591775199995</v>
      </c>
      <c r="K48" s="7">
        <v>68.622039431499999</v>
      </c>
      <c r="L48" s="7">
        <v>77.501272341800004</v>
      </c>
      <c r="M48" s="7">
        <v>73.862171767600003</v>
      </c>
      <c r="N48" s="6">
        <v>56.412593656200002</v>
      </c>
      <c r="O48" s="6">
        <v>56.9859048848</v>
      </c>
      <c r="P48" s="6">
        <v>61.214844352999997</v>
      </c>
      <c r="Q48" s="6">
        <v>60.830961985899997</v>
      </c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1:55" x14ac:dyDescent="0.25">
      <c r="A49" s="1">
        <v>47</v>
      </c>
      <c r="B49" s="6">
        <v>59.655149887699999</v>
      </c>
      <c r="C49" s="6">
        <v>59.021996627599997</v>
      </c>
      <c r="D49" s="6">
        <v>61.508953488499998</v>
      </c>
      <c r="E49" s="6">
        <v>58.840313976399997</v>
      </c>
      <c r="F49" s="7">
        <v>9.3967787041200008</v>
      </c>
      <c r="G49" s="7">
        <v>15.803493669</v>
      </c>
      <c r="H49" s="7">
        <v>8.9073771478499992</v>
      </c>
      <c r="I49" s="7">
        <v>21.638206597100002</v>
      </c>
      <c r="J49" s="7">
        <v>69.044851172099996</v>
      </c>
      <c r="K49" s="7">
        <v>68.401573087499997</v>
      </c>
      <c r="L49" s="7">
        <v>77.501117697500007</v>
      </c>
      <c r="M49" s="7">
        <v>73.703932701499994</v>
      </c>
      <c r="N49" s="6">
        <v>56.387084435600002</v>
      </c>
      <c r="O49" s="6">
        <v>56.8687648776</v>
      </c>
      <c r="P49" s="6">
        <v>61.192129054399999</v>
      </c>
      <c r="Q49" s="6">
        <v>60.405134238400002</v>
      </c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spans="1:55" x14ac:dyDescent="0.25">
      <c r="A50" s="1">
        <v>48</v>
      </c>
      <c r="B50" s="6">
        <v>59.579427558500001</v>
      </c>
      <c r="C50" s="6">
        <v>60.156724604399997</v>
      </c>
      <c r="D50" s="6">
        <v>61.4406255122</v>
      </c>
      <c r="E50" s="6">
        <v>59.003846723000002</v>
      </c>
      <c r="F50" s="7">
        <v>9.3983095704400004</v>
      </c>
      <c r="G50" s="7">
        <v>14.2316503646</v>
      </c>
      <c r="H50" s="7">
        <v>8.9089998764399994</v>
      </c>
      <c r="I50" s="7">
        <v>20.788733269200002</v>
      </c>
      <c r="J50" s="7">
        <v>69.044144906200003</v>
      </c>
      <c r="K50" s="7">
        <v>68.475955376599998</v>
      </c>
      <c r="L50" s="7">
        <v>77.5010048364</v>
      </c>
      <c r="M50" s="7">
        <v>73.549440890900001</v>
      </c>
      <c r="N50" s="6">
        <v>56.361418671999999</v>
      </c>
      <c r="O50" s="6">
        <v>57.039089750099997</v>
      </c>
      <c r="P50" s="6">
        <v>61.169271998600003</v>
      </c>
      <c r="Q50" s="6">
        <v>60.247404480299998</v>
      </c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spans="1:55" x14ac:dyDescent="0.25">
      <c r="A51" s="1">
        <v>49</v>
      </c>
      <c r="B51" s="6">
        <v>59.503148231700003</v>
      </c>
      <c r="C51" s="6">
        <v>61.6365688299</v>
      </c>
      <c r="D51" s="6">
        <v>61.371643157400001</v>
      </c>
      <c r="E51" s="6">
        <v>59.322781532</v>
      </c>
      <c r="F51" s="7">
        <v>9.3999036386399997</v>
      </c>
      <c r="G51" s="7">
        <v>13.5505886778</v>
      </c>
      <c r="H51" s="7">
        <v>8.9110038220700005</v>
      </c>
      <c r="I51" s="7">
        <v>19.833085103799998</v>
      </c>
      <c r="J51" s="7">
        <v>69.043488805099997</v>
      </c>
      <c r="K51" s="7">
        <v>68.853192886299993</v>
      </c>
      <c r="L51" s="7">
        <v>77.500921795400004</v>
      </c>
      <c r="M51" s="7">
        <v>73.446111513600002</v>
      </c>
      <c r="N51" s="6">
        <v>56.335600250399999</v>
      </c>
      <c r="O51" s="6">
        <v>57.620061250900001</v>
      </c>
      <c r="P51" s="6">
        <v>61.146269770700002</v>
      </c>
      <c r="Q51" s="6">
        <v>60.1509846557</v>
      </c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spans="1:55" x14ac:dyDescent="0.25">
      <c r="A52" s="1">
        <v>50</v>
      </c>
      <c r="B52" s="6">
        <v>59.426288549200002</v>
      </c>
      <c r="C52" s="6">
        <v>67.755832631700002</v>
      </c>
      <c r="D52" s="6">
        <v>61.302130461099999</v>
      </c>
      <c r="E52" s="6">
        <v>59.763145685300003</v>
      </c>
      <c r="F52" s="7">
        <v>9.4016007683900007</v>
      </c>
      <c r="G52" s="7">
        <v>19.3239225433</v>
      </c>
      <c r="H52" s="7">
        <v>8.9131679728400002</v>
      </c>
      <c r="I52" s="7">
        <v>18.904639188899999</v>
      </c>
      <c r="J52" s="7">
        <v>69.042894052099996</v>
      </c>
      <c r="K52" s="7">
        <v>69.441611420399994</v>
      </c>
      <c r="L52" s="7">
        <v>77.500855883900002</v>
      </c>
      <c r="M52" s="7">
        <v>73.423613219200007</v>
      </c>
      <c r="N52" s="6">
        <v>56.309633259500004</v>
      </c>
      <c r="O52" s="6">
        <v>60.899790960899999</v>
      </c>
      <c r="P52" s="6">
        <v>61.123122680400002</v>
      </c>
      <c r="Q52" s="6">
        <v>60.140564963099997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spans="1:55" x14ac:dyDescent="0.25">
      <c r="A53" s="1">
        <v>51</v>
      </c>
      <c r="B53" s="6">
        <v>59.348843623199997</v>
      </c>
      <c r="C53" s="6">
        <v>64.700410338699996</v>
      </c>
      <c r="D53" s="6">
        <v>61.232199664200003</v>
      </c>
      <c r="E53" s="6">
        <v>60.3050206574</v>
      </c>
      <c r="F53" s="7">
        <v>9.4034186507499999</v>
      </c>
      <c r="G53" s="7">
        <v>25.5736747081</v>
      </c>
      <c r="H53" s="7">
        <v>8.91530865999</v>
      </c>
      <c r="I53" s="7">
        <v>18.288220025299999</v>
      </c>
      <c r="J53" s="7">
        <v>69.0423651535</v>
      </c>
      <c r="K53" s="7">
        <v>69.818765506800005</v>
      </c>
      <c r="L53" s="7">
        <v>77.500796512999997</v>
      </c>
      <c r="M53" s="7">
        <v>73.4949683432</v>
      </c>
      <c r="N53" s="6">
        <v>56.283521132799997</v>
      </c>
      <c r="O53" s="6">
        <v>61.052803287700002</v>
      </c>
      <c r="P53" s="6">
        <v>61.099834055400002</v>
      </c>
      <c r="Q53" s="6">
        <v>60.261290709599997</v>
      </c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spans="1:55" x14ac:dyDescent="0.25">
      <c r="A54" s="1">
        <v>52</v>
      </c>
      <c r="B54" s="6">
        <v>59.270824028600003</v>
      </c>
      <c r="C54" s="6">
        <v>57.798523622899999</v>
      </c>
      <c r="D54" s="6">
        <v>61.161929651100003</v>
      </c>
      <c r="E54" s="6">
        <v>61.658548133399997</v>
      </c>
      <c r="F54" s="7">
        <v>9.4053559010299992</v>
      </c>
      <c r="G54" s="7">
        <v>22.4760086245</v>
      </c>
      <c r="H54" s="7">
        <v>8.9173117825600006</v>
      </c>
      <c r="I54" s="7">
        <v>18.387391750999999</v>
      </c>
      <c r="J54" s="7">
        <v>69.041900187400003</v>
      </c>
      <c r="K54" s="7">
        <v>69.629647265499997</v>
      </c>
      <c r="L54" s="7">
        <v>77.500736786199994</v>
      </c>
      <c r="M54" s="7">
        <v>73.652094404799996</v>
      </c>
      <c r="N54" s="6">
        <v>56.257266251200001</v>
      </c>
      <c r="O54" s="6">
        <v>58.135648528200001</v>
      </c>
      <c r="P54" s="6">
        <v>61.076408892800004</v>
      </c>
      <c r="Q54" s="6">
        <v>60.8129422612</v>
      </c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spans="1:55" x14ac:dyDescent="0.25">
      <c r="A55" s="1">
        <v>53</v>
      </c>
      <c r="B55" s="6">
        <v>59.192250246299999</v>
      </c>
      <c r="C55" s="6">
        <v>56.839199892400003</v>
      </c>
      <c r="D55" s="6">
        <v>61.091357919700002</v>
      </c>
      <c r="E55" s="6">
        <v>64.053674246200003</v>
      </c>
      <c r="F55" s="7">
        <v>9.4073983452499998</v>
      </c>
      <c r="G55" s="7">
        <v>20.055061849800001</v>
      </c>
      <c r="H55" s="7">
        <v>8.9191397294100003</v>
      </c>
      <c r="I55" s="7">
        <v>22.124632786799999</v>
      </c>
      <c r="J55" s="7">
        <v>69.041492493199996</v>
      </c>
      <c r="K55" s="7">
        <v>69.152122017300002</v>
      </c>
      <c r="L55" s="7">
        <v>77.500673819200003</v>
      </c>
      <c r="M55" s="7">
        <v>73.848091734500002</v>
      </c>
      <c r="N55" s="6">
        <v>56.2308699182</v>
      </c>
      <c r="O55" s="6">
        <v>57.186365103200004</v>
      </c>
      <c r="P55" s="6">
        <v>61.0528524116</v>
      </c>
      <c r="Q55" s="6">
        <v>62.314426880100001</v>
      </c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spans="1:55" x14ac:dyDescent="0.25">
      <c r="A56" s="1">
        <v>54</v>
      </c>
      <c r="B56" s="6">
        <v>59.113146627699997</v>
      </c>
      <c r="C56" s="6">
        <v>57.2592614008</v>
      </c>
      <c r="D56" s="6">
        <v>61.020484336599999</v>
      </c>
      <c r="E56" s="6">
        <v>60.766305858499997</v>
      </c>
      <c r="F56" s="7">
        <v>9.4095260279000001</v>
      </c>
      <c r="G56" s="7">
        <v>18.216966599700001</v>
      </c>
      <c r="H56" s="7">
        <v>8.9208184475899994</v>
      </c>
      <c r="I56" s="7">
        <v>24.362836508800001</v>
      </c>
      <c r="J56" s="7">
        <v>69.041132924300001</v>
      </c>
      <c r="K56" s="7">
        <v>68.692874690599993</v>
      </c>
      <c r="L56" s="7">
        <v>77.500608062799998</v>
      </c>
      <c r="M56" s="7">
        <v>73.9364957369</v>
      </c>
      <c r="N56" s="6">
        <v>56.204332571999998</v>
      </c>
      <c r="O56" s="6">
        <v>56.804502065299999</v>
      </c>
      <c r="P56" s="6">
        <v>61.0291689214</v>
      </c>
      <c r="Q56" s="6">
        <v>61.6056205573</v>
      </c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spans="1:55" x14ac:dyDescent="0.25">
      <c r="A57" s="1">
        <v>55</v>
      </c>
      <c r="B57" s="6">
        <v>59.033536373399997</v>
      </c>
      <c r="C57" s="6">
        <v>58.168318589999998</v>
      </c>
      <c r="D57" s="6">
        <v>60.949282622699997</v>
      </c>
      <c r="E57" s="6">
        <v>58.481958008200003</v>
      </c>
      <c r="F57" s="7">
        <v>9.4117191492399996</v>
      </c>
      <c r="G57" s="7">
        <v>16.2326656141</v>
      </c>
      <c r="H57" s="7">
        <v>8.9224132350200005</v>
      </c>
      <c r="I57" s="7">
        <v>22.768303618899999</v>
      </c>
      <c r="J57" s="7">
        <v>69.040811968900002</v>
      </c>
      <c r="K57" s="7">
        <v>68.419781977300005</v>
      </c>
      <c r="L57" s="7">
        <v>77.500542062500003</v>
      </c>
      <c r="M57" s="7">
        <v>73.852611944200007</v>
      </c>
      <c r="N57" s="6">
        <v>56.177654103599998</v>
      </c>
      <c r="O57" s="6">
        <v>56.658119036999999</v>
      </c>
      <c r="P57" s="6">
        <v>61.005361223199998</v>
      </c>
      <c r="Q57" s="6">
        <v>60.538834164100003</v>
      </c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spans="1:55" x14ac:dyDescent="0.25">
      <c r="A58" s="1">
        <v>56</v>
      </c>
      <c r="B58" s="6">
        <v>58.953438301799999</v>
      </c>
      <c r="C58" s="6">
        <v>59.338525432899999</v>
      </c>
      <c r="D58" s="6">
        <v>60.877714791199999</v>
      </c>
      <c r="E58" s="6">
        <v>58.052692380700002</v>
      </c>
      <c r="F58" s="7">
        <v>9.4139619844000002</v>
      </c>
      <c r="G58" s="7">
        <v>14.5351673444</v>
      </c>
      <c r="H58" s="7">
        <v>8.9240020832500004</v>
      </c>
      <c r="I58" s="7">
        <v>21.645426830200002</v>
      </c>
      <c r="J58" s="7">
        <v>69.040521303700004</v>
      </c>
      <c r="K58" s="7">
        <v>68.430092889299999</v>
      </c>
      <c r="L58" s="7">
        <v>77.500479099200007</v>
      </c>
      <c r="M58" s="7">
        <v>73.693817954699995</v>
      </c>
      <c r="N58" s="6">
        <v>56.150834171500001</v>
      </c>
      <c r="O58" s="6">
        <v>56.788170410799999</v>
      </c>
      <c r="P58" s="6">
        <v>60.981430556900001</v>
      </c>
      <c r="Q58" s="6">
        <v>60.135394887899999</v>
      </c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spans="1:55" x14ac:dyDescent="0.25">
      <c r="A59" s="1">
        <v>57</v>
      </c>
      <c r="B59" s="6">
        <v>58.872865532299997</v>
      </c>
      <c r="C59" s="6">
        <v>60.568281575599997</v>
      </c>
      <c r="D59" s="6">
        <v>60.805744350600001</v>
      </c>
      <c r="E59" s="6">
        <v>58.262544242499999</v>
      </c>
      <c r="F59" s="7">
        <v>9.4162446035199991</v>
      </c>
      <c r="G59" s="7">
        <v>13.630548451799999</v>
      </c>
      <c r="H59" s="7">
        <v>8.9256535071500007</v>
      </c>
      <c r="I59" s="7">
        <v>20.8008389785</v>
      </c>
      <c r="J59" s="7">
        <v>69.040254625200006</v>
      </c>
      <c r="K59" s="7">
        <v>68.747352536899996</v>
      </c>
      <c r="L59" s="7">
        <v>77.500422059300007</v>
      </c>
      <c r="M59" s="7">
        <v>73.541246121200004</v>
      </c>
      <c r="N59" s="6">
        <v>56.123872450100002</v>
      </c>
      <c r="O59" s="6">
        <v>57.218985394199997</v>
      </c>
      <c r="P59" s="6">
        <v>60.9573769605</v>
      </c>
      <c r="Q59" s="6">
        <v>59.995040081299997</v>
      </c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spans="1:55" x14ac:dyDescent="0.25">
      <c r="A60" s="1">
        <v>58</v>
      </c>
      <c r="B60" s="6">
        <v>58.791825745799997</v>
      </c>
      <c r="C60" s="6">
        <v>66.205282322800002</v>
      </c>
      <c r="D60" s="6">
        <v>60.733345501099997</v>
      </c>
      <c r="E60" s="6">
        <v>58.622608744899999</v>
      </c>
      <c r="F60" s="7">
        <v>9.4185627578699993</v>
      </c>
      <c r="G60" s="7">
        <v>17.601134021899998</v>
      </c>
      <c r="H60" s="7">
        <v>8.9274128083999997</v>
      </c>
      <c r="I60" s="7">
        <v>19.8408202456</v>
      </c>
      <c r="J60" s="7">
        <v>69.040007811600006</v>
      </c>
      <c r="K60" s="7">
        <v>69.312214899200001</v>
      </c>
      <c r="L60" s="7">
        <v>77.500372732200006</v>
      </c>
      <c r="M60" s="7">
        <v>73.441132592599999</v>
      </c>
      <c r="N60" s="6">
        <v>56.096768780200001</v>
      </c>
      <c r="O60" s="6">
        <v>60.037319676599999</v>
      </c>
      <c r="P60" s="6">
        <v>60.933199835099998</v>
      </c>
      <c r="Q60" s="6">
        <v>59.913423870499997</v>
      </c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spans="1:55" x14ac:dyDescent="0.25">
      <c r="A61" s="1">
        <v>59</v>
      </c>
      <c r="B61" s="6">
        <v>58.710322448299998</v>
      </c>
      <c r="C61" s="6">
        <v>65.958587086700007</v>
      </c>
      <c r="D61" s="6">
        <v>60.660507242999998</v>
      </c>
      <c r="E61" s="6">
        <v>59.102809757999999</v>
      </c>
      <c r="F61" s="7">
        <v>9.4209165776500008</v>
      </c>
      <c r="G61" s="7">
        <v>24.970452255200001</v>
      </c>
      <c r="H61" s="7">
        <v>8.9292976389399996</v>
      </c>
      <c r="I61" s="7">
        <v>18.919155371799999</v>
      </c>
      <c r="J61" s="7">
        <v>69.039778601899997</v>
      </c>
      <c r="K61" s="7">
        <v>69.780804537600005</v>
      </c>
      <c r="L61" s="7">
        <v>77.500331578399994</v>
      </c>
      <c r="M61" s="7">
        <v>73.422552761199995</v>
      </c>
      <c r="N61" s="6">
        <v>56.069523227600001</v>
      </c>
      <c r="O61" s="6">
        <v>61.362320948099999</v>
      </c>
      <c r="P61" s="6">
        <v>60.9088985088</v>
      </c>
      <c r="Q61" s="6">
        <v>59.919499278300002</v>
      </c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spans="1:55" x14ac:dyDescent="0.25">
      <c r="A62" s="1">
        <v>60</v>
      </c>
      <c r="B62" s="6">
        <v>58.628356634100001</v>
      </c>
      <c r="C62" s="6">
        <v>57.540369356299998</v>
      </c>
      <c r="D62" s="6">
        <v>60.587232805399999</v>
      </c>
      <c r="E62" s="6">
        <v>59.675671602800001</v>
      </c>
      <c r="F62" s="7">
        <v>9.4233087698899993</v>
      </c>
      <c r="G62" s="7">
        <v>23.264244405100001</v>
      </c>
      <c r="H62" s="7">
        <v>8.9313013059399999</v>
      </c>
      <c r="I62" s="7">
        <v>18.320573641199999</v>
      </c>
      <c r="J62" s="7">
        <v>69.039566020899997</v>
      </c>
      <c r="K62" s="7">
        <v>69.704492612999999</v>
      </c>
      <c r="L62" s="7">
        <v>77.500297888199995</v>
      </c>
      <c r="M62" s="7">
        <v>73.497740323900004</v>
      </c>
      <c r="N62" s="6">
        <v>56.042136067199998</v>
      </c>
      <c r="O62" s="6">
        <v>58.211606812600003</v>
      </c>
      <c r="P62" s="6">
        <v>60.884472649099997</v>
      </c>
      <c r="Q62" s="6">
        <v>60.0554491404</v>
      </c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7" spans="2:17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2:17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2:17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2:17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2:17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2:17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2:17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2:17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2:17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2:17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2:17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7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2:17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2:17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2:17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2:17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2:17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2:17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2:17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2:17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2:17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2:17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2:17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2:17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2:17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2:17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2:17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2:17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2:17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2:17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2:17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2:17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2:17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2:17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2:17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2:17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2:17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2:17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2:17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2:17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2:17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2:17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2:17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2:17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2:17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2:17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2:17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2:17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2:17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2:17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2:17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2:17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2:17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2:17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2:17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2:17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2:17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2:17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2:17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2:17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2:17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2:17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2:17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2:17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2:17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2:17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2:17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2:17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2:17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2:17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2:17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2:17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2:17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2:17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2:17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2:17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2:17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2:17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2:17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2:17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2:17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2:17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2:17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2:17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2:17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2:17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2:17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2:17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2:17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2:17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2:17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2:17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2:17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2:17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2:17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2:17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2:17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2:17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2:17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2:17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2:17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2:17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2:17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2:17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2:17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2:17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2:17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2:17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2:17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2:17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2:17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2:17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2:17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2:17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2:17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2:17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2:17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2:17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2:17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2:17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2:17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2:17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2:17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2:17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2:17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2:17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2:17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2:17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2:17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2:17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2:17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2:17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2:17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2:17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2:17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2:17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2:17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2:17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2:17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2:17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2:17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2:17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2:17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2:17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2:17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2:17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2:17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2:17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2:17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2:17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2:17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2:17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2:17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2:17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2:17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2:17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2:17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2:17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2:17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2:17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2:17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2:17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2:17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2:17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2:17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2:17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2:17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2:17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2:17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2:17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2:17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2:17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2:17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2:17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2:17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2:17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2:17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2:17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2:17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2:17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2:17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2:17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2:17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2:17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2:17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2:17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2:17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2:17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2:17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2:17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2:17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2:17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2:17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2:17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2:17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2:17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2:17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2:17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2:17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2:17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2:17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2:17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2:17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2:17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2:17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2:17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2:17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2:17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2:17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2:17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2:17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2:17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2:17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2:17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2:17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2:17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2:17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2:17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2:17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2:17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2:17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2:17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2:17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2:17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2:17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2:17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2:17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2:17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2:17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2:17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2:17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2:17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2:17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2:17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2:17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2:17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2:17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2:17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2:17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2:17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2:17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2:17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2:17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2:17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2:17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2:17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2:17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2:17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2:17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2:17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2:17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2:17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2:17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2:17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2:17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2:17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2:17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2:17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2:17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2:17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2:17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2:17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2:17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2:17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2:17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2:17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2:17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2:17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2:17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2:17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2:17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2:17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2:17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2:17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50BD-DD4E-4F71-BC62-40ABA8908032}">
  <dimension ref="A1:Q67"/>
  <sheetViews>
    <sheetView zoomScaleNormal="100" workbookViewId="0">
      <pane ySplit="1" topLeftCell="A2" activePane="bottomLeft" state="frozen"/>
      <selection pane="bottomLeft" activeCell="Q2" sqref="Q2:Q62"/>
    </sheetView>
  </sheetViews>
  <sheetFormatPr baseColWidth="10" defaultRowHeight="15" x14ac:dyDescent="0.25"/>
  <cols>
    <col min="6" max="6" width="13.5703125" customWidth="1"/>
    <col min="14" max="17" width="9.7109375" bestFit="1" customWidth="1"/>
  </cols>
  <sheetData>
    <row r="1" spans="1:17" x14ac:dyDescent="0.25">
      <c r="A1" t="s">
        <v>0</v>
      </c>
      <c r="B1" s="1" t="s">
        <v>61</v>
      </c>
      <c r="C1" s="1" t="s">
        <v>74</v>
      </c>
      <c r="D1" s="1" t="s">
        <v>75</v>
      </c>
      <c r="E1" s="1" t="s">
        <v>76</v>
      </c>
      <c r="F1" t="s">
        <v>43</v>
      </c>
      <c r="G1" t="s">
        <v>77</v>
      </c>
      <c r="H1" t="s">
        <v>78</v>
      </c>
      <c r="I1" t="s">
        <v>79</v>
      </c>
      <c r="J1" t="s">
        <v>46</v>
      </c>
      <c r="K1" t="s">
        <v>80</v>
      </c>
      <c r="L1" t="s">
        <v>81</v>
      </c>
      <c r="M1" t="s">
        <v>82</v>
      </c>
      <c r="N1" t="s">
        <v>49</v>
      </c>
      <c r="O1" t="s">
        <v>83</v>
      </c>
      <c r="P1" t="s">
        <v>84</v>
      </c>
      <c r="Q1" t="s">
        <v>85</v>
      </c>
    </row>
    <row r="2" spans="1:17" x14ac:dyDescent="0.25">
      <c r="A2">
        <v>0</v>
      </c>
      <c r="B2" s="6">
        <v>74.494774371899993</v>
      </c>
      <c r="C2" s="6">
        <v>73.795185337800007</v>
      </c>
      <c r="D2" s="6">
        <v>74.817984491399997</v>
      </c>
      <c r="E2" s="6">
        <v>73.911800909600004</v>
      </c>
      <c r="F2" s="6">
        <v>5.3268111360699999</v>
      </c>
      <c r="G2" s="6">
        <v>6.28651722639</v>
      </c>
      <c r="H2" s="6">
        <v>7.0635535819999999</v>
      </c>
      <c r="I2" s="6">
        <v>8.1553694417300004</v>
      </c>
      <c r="J2" s="6">
        <v>61.108540746000003</v>
      </c>
      <c r="K2" s="6">
        <v>61.220904235299997</v>
      </c>
      <c r="L2" s="6">
        <v>76.348621033699999</v>
      </c>
      <c r="M2" s="6">
        <v>69.437858289900007</v>
      </c>
      <c r="N2" s="6">
        <v>56.7519570722</v>
      </c>
      <c r="O2" s="6">
        <v>56.725112713400001</v>
      </c>
      <c r="P2" s="6">
        <v>64.809930838100001</v>
      </c>
      <c r="Q2" s="6">
        <v>61.198593874799997</v>
      </c>
    </row>
    <row r="3" spans="1:17" x14ac:dyDescent="0.25">
      <c r="A3">
        <v>1</v>
      </c>
      <c r="B3" s="6">
        <v>71.1300234964</v>
      </c>
      <c r="C3" s="6">
        <v>66.929716882099996</v>
      </c>
      <c r="D3" s="6">
        <v>72.369971122500004</v>
      </c>
      <c r="E3" s="6">
        <v>66.794887385899997</v>
      </c>
      <c r="F3" s="6">
        <v>22.021274960500001</v>
      </c>
      <c r="G3" s="6">
        <v>22.8769542165</v>
      </c>
      <c r="H3" s="6">
        <v>23.779817597099999</v>
      </c>
      <c r="I3" s="6">
        <v>24.532376379999999</v>
      </c>
      <c r="J3" s="6">
        <v>65.087398777999994</v>
      </c>
      <c r="K3" s="6">
        <v>65.175235365600003</v>
      </c>
      <c r="L3" s="6">
        <v>76.933328171300005</v>
      </c>
      <c r="M3" s="6">
        <v>71.571673743999995</v>
      </c>
      <c r="N3" s="6">
        <v>60.275445516399998</v>
      </c>
      <c r="O3" s="6">
        <v>59.038330037100003</v>
      </c>
      <c r="P3" s="6">
        <v>66.937471220700004</v>
      </c>
      <c r="Q3" s="6">
        <v>62.4764656583</v>
      </c>
    </row>
    <row r="4" spans="1:17" x14ac:dyDescent="0.25">
      <c r="A4">
        <v>2</v>
      </c>
      <c r="B4" s="6">
        <v>65.901706906200005</v>
      </c>
      <c r="C4" s="6">
        <v>93.945044702199993</v>
      </c>
      <c r="D4" s="6">
        <v>64.399059389399994</v>
      </c>
      <c r="E4" s="6">
        <v>94.157927374099998</v>
      </c>
      <c r="F4" s="6">
        <v>31.540819007700001</v>
      </c>
      <c r="G4" s="6">
        <v>37.194442448899999</v>
      </c>
      <c r="H4" s="6">
        <v>30.015002843600001</v>
      </c>
      <c r="I4" s="6">
        <v>38.339833515000002</v>
      </c>
      <c r="J4" s="6">
        <v>67.508311168500001</v>
      </c>
      <c r="K4" s="6">
        <v>67.9583153345</v>
      </c>
      <c r="L4" s="6">
        <v>77.278271463099998</v>
      </c>
      <c r="M4" s="6">
        <v>73.063365857799994</v>
      </c>
      <c r="N4" s="6">
        <v>61.244280630200002</v>
      </c>
      <c r="O4" s="6">
        <v>71.833916759900006</v>
      </c>
      <c r="P4" s="6">
        <v>65.413137864199996</v>
      </c>
      <c r="Q4" s="6">
        <v>74.658106899700002</v>
      </c>
    </row>
    <row r="5" spans="1:17" x14ac:dyDescent="0.25">
      <c r="A5">
        <v>3</v>
      </c>
      <c r="B5" s="6">
        <v>56.445038898</v>
      </c>
      <c r="C5" s="6">
        <v>63.772933846100003</v>
      </c>
      <c r="D5" s="6">
        <v>57.258168920000003</v>
      </c>
      <c r="E5" s="6">
        <v>62.544792441600002</v>
      </c>
      <c r="F5" s="6">
        <v>19.693233239200001</v>
      </c>
      <c r="G5" s="6">
        <v>39.578346058800001</v>
      </c>
      <c r="H5" s="6">
        <v>17.893354281400001</v>
      </c>
      <c r="I5" s="6">
        <v>39.120920061900001</v>
      </c>
      <c r="J5" s="6">
        <v>68.328551517700006</v>
      </c>
      <c r="K5" s="6">
        <v>69.384994410299996</v>
      </c>
      <c r="L5" s="6">
        <v>77.403029516299995</v>
      </c>
      <c r="M5" s="6">
        <v>73.806070742599999</v>
      </c>
      <c r="N5" s="6">
        <v>56.581161609500001</v>
      </c>
      <c r="O5" s="6">
        <v>62.749349781600003</v>
      </c>
      <c r="P5" s="6">
        <v>61.137776260499997</v>
      </c>
      <c r="Q5" s="6">
        <v>64.487913658400004</v>
      </c>
    </row>
    <row r="6" spans="1:17" x14ac:dyDescent="0.25">
      <c r="A6">
        <v>4</v>
      </c>
      <c r="B6" s="6">
        <v>59.386145601599999</v>
      </c>
      <c r="C6" s="6">
        <v>56.687974967000002</v>
      </c>
      <c r="D6" s="6">
        <v>60.704214126899998</v>
      </c>
      <c r="E6" s="6">
        <v>56.905998711000002</v>
      </c>
      <c r="F6" s="6">
        <v>11.8402886685</v>
      </c>
      <c r="G6" s="6">
        <v>25.7537942921</v>
      </c>
      <c r="H6" s="6">
        <v>10.289649148900001</v>
      </c>
      <c r="I6" s="6">
        <v>25.701505348000001</v>
      </c>
      <c r="J6" s="6">
        <v>68.520531676900006</v>
      </c>
      <c r="K6" s="6">
        <v>69.466313627600002</v>
      </c>
      <c r="L6" s="6">
        <v>77.452917274200004</v>
      </c>
      <c r="M6" s="6">
        <v>73.861195421100007</v>
      </c>
      <c r="N6" s="6">
        <v>56.421059661000001</v>
      </c>
      <c r="O6" s="6">
        <v>58.200089125799998</v>
      </c>
      <c r="P6" s="6">
        <v>61.116187676199999</v>
      </c>
      <c r="Q6" s="6">
        <v>60.477948165500003</v>
      </c>
    </row>
    <row r="7" spans="1:17" x14ac:dyDescent="0.25">
      <c r="A7">
        <v>5</v>
      </c>
      <c r="B7" s="6">
        <v>61.910833179599997</v>
      </c>
      <c r="C7" s="6">
        <v>58.347317110200002</v>
      </c>
      <c r="D7" s="6">
        <v>63.503435127800003</v>
      </c>
      <c r="E7" s="6">
        <v>58.988774903900001</v>
      </c>
      <c r="F7" s="6">
        <v>9.2288441023699992</v>
      </c>
      <c r="G7" s="6">
        <v>20.465293550999998</v>
      </c>
      <c r="H7" s="6">
        <v>8.1623688865599995</v>
      </c>
      <c r="I7" s="6">
        <v>21.1863312077</v>
      </c>
      <c r="J7" s="6">
        <v>68.716196973799995</v>
      </c>
      <c r="K7" s="6">
        <v>69.120360908799995</v>
      </c>
      <c r="L7" s="6">
        <v>77.512979774599998</v>
      </c>
      <c r="M7" s="6">
        <v>73.7272096903</v>
      </c>
      <c r="N7" s="6">
        <v>56.956124858599999</v>
      </c>
      <c r="O7" s="6">
        <v>57.744574988700002</v>
      </c>
      <c r="P7" s="6">
        <v>61.752652296699999</v>
      </c>
      <c r="Q7" s="6">
        <v>60.3950673975</v>
      </c>
    </row>
    <row r="8" spans="1:17" x14ac:dyDescent="0.25">
      <c r="A8">
        <v>6</v>
      </c>
      <c r="B8" s="6">
        <v>63.27808967</v>
      </c>
      <c r="C8" s="6">
        <v>60.236622566699999</v>
      </c>
      <c r="D8" s="6">
        <v>66.051744962900003</v>
      </c>
      <c r="E8" s="6">
        <v>61.014140685100003</v>
      </c>
      <c r="F8" s="6">
        <v>8.1419025253800008</v>
      </c>
      <c r="G8" s="6">
        <v>17.2514829936</v>
      </c>
      <c r="H8" s="6">
        <v>9.6170052167400009</v>
      </c>
      <c r="I8" s="6">
        <v>19.066500897800001</v>
      </c>
      <c r="J8" s="6">
        <v>69.010421140199995</v>
      </c>
      <c r="K8" s="6">
        <v>68.834020862000003</v>
      </c>
      <c r="L8" s="6">
        <v>77.585918502300004</v>
      </c>
      <c r="M8" s="6">
        <v>73.6378966244</v>
      </c>
      <c r="N8" s="6">
        <v>57.3927397255</v>
      </c>
      <c r="O8" s="6">
        <v>57.726727891700001</v>
      </c>
      <c r="P8" s="6">
        <v>62.8807513458</v>
      </c>
      <c r="Q8" s="6">
        <v>60.696364088000003</v>
      </c>
    </row>
    <row r="9" spans="1:17" x14ac:dyDescent="0.25">
      <c r="A9">
        <v>7</v>
      </c>
      <c r="B9" s="6">
        <v>64.594435232400002</v>
      </c>
      <c r="C9" s="6">
        <v>61.886285414900001</v>
      </c>
      <c r="D9" s="6">
        <v>65.973211362499995</v>
      </c>
      <c r="E9" s="6">
        <v>62.484164193399998</v>
      </c>
      <c r="F9" s="6">
        <v>8.5348525527899994</v>
      </c>
      <c r="G9" s="6">
        <v>14.9026379007</v>
      </c>
      <c r="H9" s="6">
        <v>13.593734936900001</v>
      </c>
      <c r="I9" s="6">
        <v>17.674351501099999</v>
      </c>
      <c r="J9" s="6">
        <v>69.379572323999994</v>
      </c>
      <c r="K9" s="6">
        <v>68.789607879299993</v>
      </c>
      <c r="L9" s="6">
        <v>77.643860596300001</v>
      </c>
      <c r="M9" s="6">
        <v>73.657841751800007</v>
      </c>
      <c r="N9" s="6">
        <v>58.085323064900003</v>
      </c>
      <c r="O9" s="6">
        <v>57.8874098438</v>
      </c>
      <c r="P9" s="6">
        <v>63.5160542681</v>
      </c>
      <c r="Q9" s="6">
        <v>60.981019959100003</v>
      </c>
    </row>
    <row r="10" spans="1:17" x14ac:dyDescent="0.25">
      <c r="A10">
        <v>8</v>
      </c>
      <c r="B10" s="6">
        <v>65.084609649699999</v>
      </c>
      <c r="C10" s="6">
        <v>63.243922558199998</v>
      </c>
      <c r="D10" s="6">
        <v>62.505363690700001</v>
      </c>
      <c r="E10" s="6">
        <v>63.518113263799997</v>
      </c>
      <c r="F10" s="6">
        <v>13.158723329500001</v>
      </c>
      <c r="G10" s="6">
        <v>13.6684186301</v>
      </c>
      <c r="H10" s="6">
        <v>11.515613552</v>
      </c>
      <c r="I10" s="6">
        <v>17.188339150699999</v>
      </c>
      <c r="J10" s="6">
        <v>69.716856656100006</v>
      </c>
      <c r="K10" s="6">
        <v>69.047494232899993</v>
      </c>
      <c r="L10" s="6">
        <v>77.652908103599998</v>
      </c>
      <c r="M10" s="6">
        <v>73.798591942900003</v>
      </c>
      <c r="N10" s="6">
        <v>59.156130351800002</v>
      </c>
      <c r="O10" s="6">
        <v>58.279054708300002</v>
      </c>
      <c r="P10" s="6">
        <v>62.0197316187</v>
      </c>
      <c r="Q10" s="6">
        <v>61.323486680000002</v>
      </c>
    </row>
    <row r="11" spans="1:17" x14ac:dyDescent="0.25">
      <c r="A11">
        <v>9</v>
      </c>
      <c r="B11" s="6">
        <v>61.6602332967</v>
      </c>
      <c r="C11" s="6">
        <v>68.201205260500004</v>
      </c>
      <c r="D11" s="6">
        <v>62.402982348400002</v>
      </c>
      <c r="E11" s="6">
        <v>68.060285647399994</v>
      </c>
      <c r="F11" s="6">
        <v>12.3211746507</v>
      </c>
      <c r="G11" s="6">
        <v>16.576456810700002</v>
      </c>
      <c r="H11" s="6">
        <v>9.0470857451899995</v>
      </c>
      <c r="I11" s="6">
        <v>20.757698428099999</v>
      </c>
      <c r="J11" s="6">
        <v>69.776944775800004</v>
      </c>
      <c r="K11" s="6">
        <v>69.570212519600005</v>
      </c>
      <c r="L11" s="6">
        <v>77.630828870499997</v>
      </c>
      <c r="M11" s="6">
        <v>74.029017047899998</v>
      </c>
      <c r="N11" s="6">
        <v>57.897529566199999</v>
      </c>
      <c r="O11" s="6">
        <v>60.677755282100001</v>
      </c>
      <c r="P11" s="6">
        <v>61.581362084699997</v>
      </c>
      <c r="Q11" s="6">
        <v>63.5401522943</v>
      </c>
    </row>
    <row r="12" spans="1:17" x14ac:dyDescent="0.25">
      <c r="A12">
        <v>10</v>
      </c>
      <c r="B12" s="6">
        <v>61.243471204099997</v>
      </c>
      <c r="C12" s="6">
        <v>70.736247876099995</v>
      </c>
      <c r="D12" s="6">
        <v>62.883165347000002</v>
      </c>
      <c r="E12" s="6">
        <v>66.980261080000005</v>
      </c>
      <c r="F12" s="6">
        <v>10.2255608352</v>
      </c>
      <c r="G12" s="6">
        <v>25.1956286281</v>
      </c>
      <c r="H12" s="6">
        <v>8.3304139967699999</v>
      </c>
      <c r="I12" s="6">
        <v>26.273229405799999</v>
      </c>
      <c r="J12" s="6">
        <v>69.6133572034</v>
      </c>
      <c r="K12" s="6">
        <v>70.060890963000006</v>
      </c>
      <c r="L12" s="6">
        <v>77.606494406699994</v>
      </c>
      <c r="M12" s="6">
        <v>74.187373127100003</v>
      </c>
      <c r="N12" s="6">
        <v>57.3411494972</v>
      </c>
      <c r="O12" s="6">
        <v>63.151451627599997</v>
      </c>
      <c r="P12" s="6">
        <v>61.617145390700003</v>
      </c>
      <c r="Q12" s="6">
        <v>64.132837998599996</v>
      </c>
    </row>
    <row r="13" spans="1:17" x14ac:dyDescent="0.25">
      <c r="A13">
        <v>11</v>
      </c>
      <c r="B13" s="6">
        <v>61.573751769600001</v>
      </c>
      <c r="C13" s="6">
        <v>61.450611726799998</v>
      </c>
      <c r="D13" s="6">
        <v>63.249598566899998</v>
      </c>
      <c r="E13" s="6">
        <v>61.261145673100003</v>
      </c>
      <c r="F13" s="6">
        <v>9.3825826203799991</v>
      </c>
      <c r="G13" s="6">
        <v>24.126153840200001</v>
      </c>
      <c r="H13" s="6">
        <v>8.22902159627</v>
      </c>
      <c r="I13" s="6">
        <v>23.676897976100001</v>
      </c>
      <c r="J13" s="6">
        <v>69.414599266099998</v>
      </c>
      <c r="K13" s="6">
        <v>69.993758903499995</v>
      </c>
      <c r="L13" s="6">
        <v>77.588557965199996</v>
      </c>
      <c r="M13" s="6">
        <v>74.093329326299994</v>
      </c>
      <c r="N13" s="6">
        <v>57.218439003699999</v>
      </c>
      <c r="O13" s="6">
        <v>59.813928748800002</v>
      </c>
      <c r="P13" s="6">
        <v>61.715644223399998</v>
      </c>
      <c r="Q13" s="6">
        <v>61.742448203599999</v>
      </c>
    </row>
    <row r="14" spans="1:17" x14ac:dyDescent="0.25">
      <c r="A14">
        <v>12</v>
      </c>
      <c r="B14" s="6">
        <v>61.947284865299999</v>
      </c>
      <c r="C14" s="6">
        <v>59.481636043500004</v>
      </c>
      <c r="D14" s="6">
        <v>63.359592037799999</v>
      </c>
      <c r="E14" s="6">
        <v>60.330426070800002</v>
      </c>
      <c r="F14" s="6">
        <v>9.0116934828899993</v>
      </c>
      <c r="G14" s="6">
        <v>20.7093268508</v>
      </c>
      <c r="H14" s="6">
        <v>8.3593997978299992</v>
      </c>
      <c r="I14" s="6">
        <v>21.588682568500001</v>
      </c>
      <c r="J14" s="6">
        <v>69.257893729200006</v>
      </c>
      <c r="K14" s="6">
        <v>69.478969499499996</v>
      </c>
      <c r="L14" s="6">
        <v>77.577020983799997</v>
      </c>
      <c r="M14" s="6">
        <v>73.862748712599995</v>
      </c>
      <c r="N14" s="6">
        <v>57.206597907999999</v>
      </c>
      <c r="O14" s="6">
        <v>58.346732536399998</v>
      </c>
      <c r="P14" s="6">
        <v>61.767696116300002</v>
      </c>
      <c r="Q14" s="6">
        <v>60.980074164900003</v>
      </c>
    </row>
    <row r="15" spans="1:17" x14ac:dyDescent="0.25">
      <c r="A15">
        <v>13</v>
      </c>
      <c r="B15" s="6">
        <v>62.1446963486</v>
      </c>
      <c r="C15" s="6">
        <v>59.494345918</v>
      </c>
      <c r="D15" s="6">
        <v>63.271771167499999</v>
      </c>
      <c r="E15" s="6">
        <v>60.5537867703</v>
      </c>
      <c r="F15" s="6">
        <v>8.8980440674099999</v>
      </c>
      <c r="G15" s="6">
        <v>18.8388462765</v>
      </c>
      <c r="H15" s="6">
        <v>8.5578493728900007</v>
      </c>
      <c r="I15" s="6">
        <v>20.471449941500001</v>
      </c>
      <c r="J15" s="6">
        <v>69.164060130099998</v>
      </c>
      <c r="K15" s="6">
        <v>68.906677963600004</v>
      </c>
      <c r="L15" s="6">
        <v>77.569286982999998</v>
      </c>
      <c r="M15" s="6">
        <v>73.636329957699999</v>
      </c>
      <c r="N15" s="6">
        <v>57.207897314599997</v>
      </c>
      <c r="O15" s="6">
        <v>57.765338010800001</v>
      </c>
      <c r="P15" s="6">
        <v>61.765736026600003</v>
      </c>
      <c r="Q15" s="6">
        <v>60.763726481699997</v>
      </c>
    </row>
    <row r="16" spans="1:17" x14ac:dyDescent="0.25">
      <c r="A16">
        <v>14</v>
      </c>
      <c r="B16" s="6">
        <v>62.152043654499998</v>
      </c>
      <c r="C16" s="6">
        <v>60.022757294400002</v>
      </c>
      <c r="D16" s="6">
        <v>63.086610243099997</v>
      </c>
      <c r="E16" s="6">
        <v>60.966634546500003</v>
      </c>
      <c r="F16" s="6">
        <v>8.9440724635100004</v>
      </c>
      <c r="G16" s="6">
        <v>16.985157191799999</v>
      </c>
      <c r="H16" s="6">
        <v>8.7398426760600003</v>
      </c>
      <c r="I16" s="6">
        <v>19.6625541469</v>
      </c>
      <c r="J16" s="6">
        <v>69.127622569600007</v>
      </c>
      <c r="K16" s="6">
        <v>68.484823446299998</v>
      </c>
      <c r="L16" s="6">
        <v>77.562589058100002</v>
      </c>
      <c r="M16" s="6">
        <v>73.478708985500006</v>
      </c>
      <c r="N16" s="6">
        <v>57.199354690600003</v>
      </c>
      <c r="O16" s="6">
        <v>57.436384062899997</v>
      </c>
      <c r="P16" s="6">
        <v>61.7288306345</v>
      </c>
      <c r="Q16" s="6">
        <v>60.695011997199998</v>
      </c>
    </row>
    <row r="17" spans="1:17" x14ac:dyDescent="0.25">
      <c r="A17">
        <v>15</v>
      </c>
      <c r="B17" s="6">
        <v>62.031386534399999</v>
      </c>
      <c r="C17" s="6">
        <v>60.806463094500003</v>
      </c>
      <c r="D17" s="6">
        <v>62.883664281999998</v>
      </c>
      <c r="E17" s="6">
        <v>61.332278949900001</v>
      </c>
      <c r="F17" s="6">
        <v>9.0762331280699993</v>
      </c>
      <c r="G17" s="6">
        <v>15.1359696968</v>
      </c>
      <c r="H17" s="6">
        <v>8.8628372429500004</v>
      </c>
      <c r="I17" s="6">
        <v>18.750575120299999</v>
      </c>
      <c r="J17" s="6">
        <v>69.131332047900003</v>
      </c>
      <c r="K17" s="6">
        <v>68.327655179600001</v>
      </c>
      <c r="L17" s="6">
        <v>77.554989701599993</v>
      </c>
      <c r="M17" s="6">
        <v>73.416364962800003</v>
      </c>
      <c r="N17" s="6">
        <v>57.181529179199998</v>
      </c>
      <c r="O17" s="6">
        <v>57.3275557005</v>
      </c>
      <c r="P17" s="6">
        <v>61.676083806900003</v>
      </c>
      <c r="Q17" s="6">
        <v>60.641936212399997</v>
      </c>
    </row>
    <row r="18" spans="1:17" x14ac:dyDescent="0.25">
      <c r="A18">
        <v>16</v>
      </c>
      <c r="B18" s="6">
        <v>61.855801117600002</v>
      </c>
      <c r="C18" s="6">
        <v>61.759819919199998</v>
      </c>
      <c r="D18" s="6">
        <v>62.706609187600002</v>
      </c>
      <c r="E18" s="6">
        <v>61.753891817300001</v>
      </c>
      <c r="F18" s="6">
        <v>9.2340931919500004</v>
      </c>
      <c r="G18" s="6">
        <v>13.8344160696</v>
      </c>
      <c r="H18" s="6">
        <v>8.9141189861299992</v>
      </c>
      <c r="I18" s="6">
        <v>18.091345707399999</v>
      </c>
      <c r="J18" s="6">
        <v>69.155276563499996</v>
      </c>
      <c r="K18" s="6">
        <v>68.484986582299996</v>
      </c>
      <c r="L18" s="6">
        <v>77.5456693199</v>
      </c>
      <c r="M18" s="6">
        <v>73.460019781300005</v>
      </c>
      <c r="N18" s="6">
        <v>57.159442909500001</v>
      </c>
      <c r="O18" s="6">
        <v>57.521433420199997</v>
      </c>
      <c r="P18" s="6">
        <v>61.619799454099997</v>
      </c>
      <c r="Q18" s="6">
        <v>60.701321418100001</v>
      </c>
    </row>
    <row r="19" spans="1:17" x14ac:dyDescent="0.25">
      <c r="A19">
        <v>17</v>
      </c>
      <c r="B19" s="6">
        <v>61.680861383699998</v>
      </c>
      <c r="C19" s="6">
        <v>64.385797587499994</v>
      </c>
      <c r="D19" s="6">
        <v>62.568716640399998</v>
      </c>
      <c r="E19" s="6">
        <v>62.3358497818</v>
      </c>
      <c r="F19" s="6">
        <v>9.3739411611999994</v>
      </c>
      <c r="G19" s="6">
        <v>14.1232440938</v>
      </c>
      <c r="H19" s="6">
        <v>8.9025526293000006</v>
      </c>
      <c r="I19" s="6">
        <v>17.9859814245</v>
      </c>
      <c r="J19" s="6">
        <v>69.182473880000003</v>
      </c>
      <c r="K19" s="6">
        <v>68.934912541700001</v>
      </c>
      <c r="L19" s="6">
        <v>77.534804272499997</v>
      </c>
      <c r="M19" s="6">
        <v>73.6008305931</v>
      </c>
      <c r="N19" s="6">
        <v>57.136346719700001</v>
      </c>
      <c r="O19" s="6">
        <v>58.680075278300002</v>
      </c>
      <c r="P19" s="6">
        <v>61.565955345100001</v>
      </c>
      <c r="Q19" s="6">
        <v>60.951841965500002</v>
      </c>
    </row>
    <row r="20" spans="1:17" x14ac:dyDescent="0.25">
      <c r="A20">
        <v>18</v>
      </c>
      <c r="B20" s="6">
        <v>61.537368939099998</v>
      </c>
      <c r="C20" s="6">
        <v>69.316516865500006</v>
      </c>
      <c r="D20" s="6">
        <v>62.464203194299998</v>
      </c>
      <c r="E20" s="6">
        <v>65.410945165699999</v>
      </c>
      <c r="F20" s="6">
        <v>9.4710784205700005</v>
      </c>
      <c r="G20" s="6">
        <v>21.584506072</v>
      </c>
      <c r="H20" s="6">
        <v>8.8497604631200009</v>
      </c>
      <c r="I20" s="6">
        <v>21.301789828299999</v>
      </c>
      <c r="J20" s="6">
        <v>69.201576706599994</v>
      </c>
      <c r="K20" s="6">
        <v>69.516394777299993</v>
      </c>
      <c r="L20" s="6">
        <v>77.523222396700007</v>
      </c>
      <c r="M20" s="6">
        <v>73.799904795499998</v>
      </c>
      <c r="N20" s="6">
        <v>57.112993166099997</v>
      </c>
      <c r="O20" s="6">
        <v>61.823741754399997</v>
      </c>
      <c r="P20" s="6">
        <v>61.516456298900003</v>
      </c>
      <c r="Q20" s="6">
        <v>62.617299089699998</v>
      </c>
    </row>
    <row r="21" spans="1:17" x14ac:dyDescent="0.25">
      <c r="A21">
        <v>19</v>
      </c>
      <c r="B21" s="6">
        <v>61.4347600997</v>
      </c>
      <c r="C21" s="6">
        <v>62.7895386872</v>
      </c>
      <c r="D21" s="6">
        <v>62.378855128700003</v>
      </c>
      <c r="E21" s="6">
        <v>63.315103088299999</v>
      </c>
      <c r="F21" s="6">
        <v>9.5183623928600003</v>
      </c>
      <c r="G21" s="6">
        <v>25.302782252099998</v>
      </c>
      <c r="H21" s="6">
        <v>8.7812415079400008</v>
      </c>
      <c r="I21" s="6">
        <v>24.5875257197</v>
      </c>
      <c r="J21" s="6">
        <v>69.207358013800004</v>
      </c>
      <c r="K21" s="6">
        <v>69.737118144600004</v>
      </c>
      <c r="L21" s="6">
        <v>77.511988963700006</v>
      </c>
      <c r="M21" s="6">
        <v>73.918229460899994</v>
      </c>
      <c r="N21" s="6">
        <v>57.088798870399998</v>
      </c>
      <c r="O21" s="6">
        <v>60.323748574200003</v>
      </c>
      <c r="P21" s="6">
        <v>61.471098463200001</v>
      </c>
      <c r="Q21" s="6">
        <v>62.492301937699999</v>
      </c>
    </row>
    <row r="22" spans="1:17" x14ac:dyDescent="0.25">
      <c r="A22">
        <v>20</v>
      </c>
      <c r="B22" s="6">
        <v>61.368303291399997</v>
      </c>
      <c r="C22" s="6">
        <v>58.879700640899998</v>
      </c>
      <c r="D22" s="6">
        <v>62.2976757582</v>
      </c>
      <c r="E22" s="6">
        <v>60.259866390699997</v>
      </c>
      <c r="F22" s="6">
        <v>9.5218674628599995</v>
      </c>
      <c r="G22" s="6">
        <v>21.7229437385</v>
      </c>
      <c r="H22" s="6">
        <v>8.7191064552699995</v>
      </c>
      <c r="I22" s="6">
        <v>23.0758036569</v>
      </c>
      <c r="J22" s="6">
        <v>69.199721895400003</v>
      </c>
      <c r="K22" s="6">
        <v>69.420122211099994</v>
      </c>
      <c r="L22" s="6">
        <v>77.502046125000007</v>
      </c>
      <c r="M22" s="6">
        <v>73.851395911799997</v>
      </c>
      <c r="N22" s="6">
        <v>57.063085139999998</v>
      </c>
      <c r="O22" s="6">
        <v>58.275223326099997</v>
      </c>
      <c r="P22" s="6">
        <v>61.4288127481</v>
      </c>
      <c r="Q22" s="6">
        <v>61.187124397799998</v>
      </c>
    </row>
    <row r="23" spans="1:17" x14ac:dyDescent="0.25">
      <c r="A23">
        <v>21</v>
      </c>
      <c r="B23" s="6">
        <v>61.326299558700001</v>
      </c>
      <c r="C23" s="6">
        <v>58.351792429299998</v>
      </c>
      <c r="D23" s="6">
        <v>62.209286214700001</v>
      </c>
      <c r="E23" s="6">
        <v>59.581162851899997</v>
      </c>
      <c r="F23" s="6">
        <v>9.4952262154400007</v>
      </c>
      <c r="G23" s="6">
        <v>19.715262173199999</v>
      </c>
      <c r="H23" s="6">
        <v>8.6776948149099997</v>
      </c>
      <c r="I23" s="6">
        <v>21.865027536700001</v>
      </c>
      <c r="J23" s="6">
        <v>69.181955772199998</v>
      </c>
      <c r="K23" s="6">
        <v>68.915593226599995</v>
      </c>
      <c r="L23" s="6">
        <v>77.493983755299993</v>
      </c>
      <c r="M23" s="6">
        <v>73.687249286699995</v>
      </c>
      <c r="N23" s="6">
        <v>57.035727750500001</v>
      </c>
      <c r="O23" s="6">
        <v>57.523676978499999</v>
      </c>
      <c r="P23" s="6">
        <v>61.388337329499997</v>
      </c>
      <c r="Q23" s="6">
        <v>60.682830076499997</v>
      </c>
    </row>
    <row r="24" spans="1:17" x14ac:dyDescent="0.25">
      <c r="A24">
        <v>22</v>
      </c>
      <c r="B24" s="6">
        <v>61.295652200500001</v>
      </c>
      <c r="C24" s="6">
        <v>58.718315894900002</v>
      </c>
      <c r="D24" s="6">
        <v>62.107589315799999</v>
      </c>
      <c r="E24" s="6">
        <v>59.636427854600001</v>
      </c>
      <c r="F24" s="6">
        <v>9.4541618067800002</v>
      </c>
      <c r="G24" s="6">
        <v>18.016954792899998</v>
      </c>
      <c r="H24" s="6">
        <v>8.6623543008099997</v>
      </c>
      <c r="I24" s="6">
        <v>21.0273516751</v>
      </c>
      <c r="J24" s="6">
        <v>69.158834447900006</v>
      </c>
      <c r="K24" s="6">
        <v>68.475709268599999</v>
      </c>
      <c r="L24" s="6">
        <v>77.487964900600005</v>
      </c>
      <c r="M24" s="6">
        <v>73.517387063800001</v>
      </c>
      <c r="N24" s="6">
        <v>57.007212184399997</v>
      </c>
      <c r="O24" s="6">
        <v>57.155733165500003</v>
      </c>
      <c r="P24" s="6">
        <v>61.348547436099999</v>
      </c>
      <c r="Q24" s="6">
        <v>60.482702168899998</v>
      </c>
    </row>
    <row r="25" spans="1:17" x14ac:dyDescent="0.25">
      <c r="A25">
        <v>23</v>
      </c>
      <c r="B25" s="6">
        <v>61.2653936492</v>
      </c>
      <c r="C25" s="6">
        <v>59.425519954599999</v>
      </c>
      <c r="D25" s="6">
        <v>61.991480579600001</v>
      </c>
      <c r="E25" s="6">
        <v>59.860455225599999</v>
      </c>
      <c r="F25" s="6">
        <v>9.4123231599199997</v>
      </c>
      <c r="G25" s="6">
        <v>16.1867470372</v>
      </c>
      <c r="H25" s="6">
        <v>8.6707620436199999</v>
      </c>
      <c r="I25" s="6">
        <v>20.290301758399998</v>
      </c>
      <c r="J25" s="6">
        <v>69.1350257924</v>
      </c>
      <c r="K25" s="6">
        <v>68.239485644400006</v>
      </c>
      <c r="L25" s="6">
        <v>77.483781347900006</v>
      </c>
      <c r="M25" s="6">
        <v>73.3922601238</v>
      </c>
      <c r="N25" s="6">
        <v>56.978358622000002</v>
      </c>
      <c r="O25" s="6">
        <v>56.984307029599996</v>
      </c>
      <c r="P25" s="6">
        <v>61.308595985799997</v>
      </c>
      <c r="Q25" s="6">
        <v>60.378055815099998</v>
      </c>
    </row>
    <row r="26" spans="1:17" x14ac:dyDescent="0.25">
      <c r="A26">
        <v>24</v>
      </c>
      <c r="B26" s="6">
        <v>61.228342310999999</v>
      </c>
      <c r="C26" s="6">
        <v>60.347371097</v>
      </c>
      <c r="D26" s="6">
        <v>61.863440242800003</v>
      </c>
      <c r="E26" s="6">
        <v>60.115479516999997</v>
      </c>
      <c r="F26" s="6">
        <v>9.3789484699999992</v>
      </c>
      <c r="G26" s="6">
        <v>14.6834391895</v>
      </c>
      <c r="H26" s="6">
        <v>8.6956975220399997</v>
      </c>
      <c r="I26" s="6">
        <v>19.459524497699999</v>
      </c>
      <c r="J26" s="6">
        <v>69.114050028700007</v>
      </c>
      <c r="K26" s="6">
        <v>68.283440401600004</v>
      </c>
      <c r="L26" s="6">
        <v>77.480987356399993</v>
      </c>
      <c r="M26" s="6">
        <v>73.338717021099995</v>
      </c>
      <c r="N26" s="6">
        <v>56.949985422499999</v>
      </c>
      <c r="O26" s="6">
        <v>57.078377324800002</v>
      </c>
      <c r="P26" s="6">
        <v>61.267946897000002</v>
      </c>
      <c r="Q26" s="6">
        <v>60.304998204900002</v>
      </c>
    </row>
    <row r="27" spans="1:17" x14ac:dyDescent="0.25">
      <c r="A27">
        <v>25</v>
      </c>
      <c r="B27" s="6">
        <v>61.181310539099997</v>
      </c>
      <c r="C27" s="6">
        <v>61.336608878100002</v>
      </c>
      <c r="D27" s="6">
        <v>61.727745616699998</v>
      </c>
      <c r="E27" s="6">
        <v>60.457911255100001</v>
      </c>
      <c r="F27" s="6">
        <v>9.3583003311299997</v>
      </c>
      <c r="G27" s="6">
        <v>13.987612733600001</v>
      </c>
      <c r="H27" s="6">
        <v>8.7281591807400005</v>
      </c>
      <c r="I27" s="6">
        <v>18.8141811998</v>
      </c>
      <c r="J27" s="6">
        <v>69.097846022699997</v>
      </c>
      <c r="K27" s="6">
        <v>68.615385763299997</v>
      </c>
      <c r="L27" s="6">
        <v>77.479055013199996</v>
      </c>
      <c r="M27" s="6">
        <v>73.370983056699998</v>
      </c>
      <c r="N27" s="6">
        <v>56.922671094999998</v>
      </c>
      <c r="O27" s="6">
        <v>57.468634550700003</v>
      </c>
      <c r="P27" s="6">
        <v>61.226345835799997</v>
      </c>
      <c r="Q27" s="6">
        <v>60.334137832800003</v>
      </c>
    </row>
    <row r="28" spans="1:17" x14ac:dyDescent="0.25">
      <c r="A28">
        <v>26</v>
      </c>
      <c r="B28" s="6">
        <v>61.124371275000001</v>
      </c>
      <c r="C28" s="6">
        <v>66.328143507099995</v>
      </c>
      <c r="D28" s="6">
        <v>61.588850109200003</v>
      </c>
      <c r="E28" s="6">
        <v>60.8600414195</v>
      </c>
      <c r="F28" s="6">
        <v>9.3504109352900002</v>
      </c>
      <c r="G28" s="6">
        <v>17.871971386999999</v>
      </c>
      <c r="H28" s="6">
        <v>8.7599882030400007</v>
      </c>
      <c r="I28" s="6">
        <v>18.605914913300001</v>
      </c>
      <c r="J28" s="6">
        <v>69.086842504000003</v>
      </c>
      <c r="K28" s="6">
        <v>69.166682852099996</v>
      </c>
      <c r="L28" s="6">
        <v>77.477506717599994</v>
      </c>
      <c r="M28" s="6">
        <v>73.486152776099999</v>
      </c>
      <c r="N28" s="6">
        <v>56.896661219800002</v>
      </c>
      <c r="O28" s="6">
        <v>60.048599037499997</v>
      </c>
      <c r="P28" s="6">
        <v>61.183757291500001</v>
      </c>
      <c r="Q28" s="6">
        <v>60.494693495200003</v>
      </c>
    </row>
    <row r="29" spans="1:17" x14ac:dyDescent="0.25">
      <c r="A29">
        <v>27</v>
      </c>
      <c r="B29" s="6">
        <v>61.0596789493</v>
      </c>
      <c r="C29" s="6">
        <v>65.733577230700007</v>
      </c>
      <c r="D29" s="6">
        <v>61.450243049500003</v>
      </c>
      <c r="E29" s="6">
        <v>62.868404315600003</v>
      </c>
      <c r="F29" s="6">
        <v>9.3525192150999992</v>
      </c>
      <c r="G29" s="6">
        <v>24.711169505299999</v>
      </c>
      <c r="H29" s="6">
        <v>8.7855388816400009</v>
      </c>
      <c r="I29" s="6">
        <v>19.983125401300001</v>
      </c>
      <c r="J29" s="6">
        <v>69.080348192900004</v>
      </c>
      <c r="K29" s="6">
        <v>69.6066931931</v>
      </c>
      <c r="L29" s="6">
        <v>77.475999643799994</v>
      </c>
      <c r="M29" s="6">
        <v>73.661518086399994</v>
      </c>
      <c r="N29" s="6">
        <v>56.871895578100002</v>
      </c>
      <c r="O29" s="6">
        <v>61.157483657999997</v>
      </c>
      <c r="P29" s="6">
        <v>61.140288057100001</v>
      </c>
      <c r="Q29" s="6">
        <v>61.479828081500003</v>
      </c>
    </row>
    <row r="30" spans="1:17" x14ac:dyDescent="0.25">
      <c r="A30">
        <v>28</v>
      </c>
      <c r="B30" s="6">
        <v>60.990253365400001</v>
      </c>
      <c r="C30" s="6">
        <v>58.616615610700002</v>
      </c>
      <c r="D30" s="6">
        <v>61.313891161199997</v>
      </c>
      <c r="E30" s="6">
        <v>62.900067061500003</v>
      </c>
      <c r="F30" s="6">
        <v>9.3606353475800006</v>
      </c>
      <c r="G30" s="6">
        <v>23.271033196299999</v>
      </c>
      <c r="H30" s="6">
        <v>8.8022887478299996</v>
      </c>
      <c r="I30" s="6">
        <v>23.533238974500001</v>
      </c>
      <c r="J30" s="6">
        <v>69.077063355899995</v>
      </c>
      <c r="K30" s="6">
        <v>69.524321444899996</v>
      </c>
      <c r="L30" s="6">
        <v>77.474356065400002</v>
      </c>
      <c r="M30" s="6">
        <v>73.816762238300001</v>
      </c>
      <c r="N30" s="6">
        <v>56.848104183899999</v>
      </c>
      <c r="O30" s="6">
        <v>58.48517648</v>
      </c>
      <c r="P30" s="6">
        <v>61.096111074500001</v>
      </c>
      <c r="Q30" s="6">
        <v>62.1334373973</v>
      </c>
    </row>
    <row r="31" spans="1:17" x14ac:dyDescent="0.25">
      <c r="A31">
        <v>29</v>
      </c>
      <c r="B31" s="6">
        <v>60.9190008717</v>
      </c>
      <c r="C31" s="6">
        <v>57.1029515006</v>
      </c>
      <c r="D31" s="6">
        <v>61.180204354499999</v>
      </c>
      <c r="E31" s="6">
        <v>59.616757223699999</v>
      </c>
      <c r="F31" s="6">
        <v>9.3708391320299995</v>
      </c>
      <c r="G31" s="6">
        <v>20.854830053800001</v>
      </c>
      <c r="H31" s="6">
        <v>8.81054923684</v>
      </c>
      <c r="I31" s="6">
        <v>23.718410095700001</v>
      </c>
      <c r="J31" s="6">
        <v>69.075555382700003</v>
      </c>
      <c r="K31" s="6">
        <v>69.083930529400007</v>
      </c>
      <c r="L31" s="6">
        <v>77.4725478302</v>
      </c>
      <c r="M31" s="6">
        <v>73.825425640899994</v>
      </c>
      <c r="N31" s="6">
        <v>56.824922942999997</v>
      </c>
      <c r="O31" s="6">
        <v>57.368271787399998</v>
      </c>
      <c r="P31" s="6">
        <v>61.051400045699999</v>
      </c>
      <c r="Q31" s="6">
        <v>61.059250494399997</v>
      </c>
    </row>
    <row r="32" spans="1:17" x14ac:dyDescent="0.25">
      <c r="A32">
        <v>30</v>
      </c>
      <c r="B32" s="6">
        <v>60.848101759400002</v>
      </c>
      <c r="C32" s="6">
        <v>57.180058282300003</v>
      </c>
      <c r="D32" s="6">
        <v>61.0483756036</v>
      </c>
      <c r="E32" s="6">
        <v>58.471896087899999</v>
      </c>
      <c r="F32" s="6">
        <v>9.3801180209700004</v>
      </c>
      <c r="G32" s="6">
        <v>19.228434486200001</v>
      </c>
      <c r="H32" s="6">
        <v>8.8125950997500002</v>
      </c>
      <c r="I32" s="6">
        <v>22.6906991878</v>
      </c>
      <c r="J32" s="6">
        <v>69.074604048200001</v>
      </c>
      <c r="K32" s="6">
        <v>68.599518440300002</v>
      </c>
      <c r="L32" s="6">
        <v>77.4706514752</v>
      </c>
      <c r="M32" s="6">
        <v>73.703933192999997</v>
      </c>
      <c r="N32" s="6">
        <v>56.801994059800002</v>
      </c>
      <c r="O32" s="6">
        <v>56.891681963499998</v>
      </c>
      <c r="P32" s="6">
        <v>61.006283035999999</v>
      </c>
      <c r="Q32" s="6">
        <v>60.448240709099998</v>
      </c>
    </row>
    <row r="33" spans="1:17" x14ac:dyDescent="0.25">
      <c r="A33">
        <v>31</v>
      </c>
      <c r="B33" s="6">
        <v>60.778769627099997</v>
      </c>
      <c r="C33" s="6">
        <v>57.762125213600001</v>
      </c>
      <c r="D33" s="6">
        <v>60.9169103033</v>
      </c>
      <c r="E33" s="6">
        <v>58.203569009299997</v>
      </c>
      <c r="F33" s="6">
        <v>9.3867199158099996</v>
      </c>
      <c r="G33" s="6">
        <v>17.441336096400001</v>
      </c>
      <c r="H33" s="6">
        <v>8.8115768584899996</v>
      </c>
      <c r="I33" s="6">
        <v>21.778527180699999</v>
      </c>
      <c r="J33" s="6">
        <v>69.073384312599998</v>
      </c>
      <c r="K33" s="6">
        <v>68.249074065599999</v>
      </c>
      <c r="L33" s="6">
        <v>77.468792623400006</v>
      </c>
      <c r="M33" s="6">
        <v>73.538720925600003</v>
      </c>
      <c r="N33" s="6">
        <v>56.779032985900002</v>
      </c>
      <c r="O33" s="6">
        <v>56.627379886600004</v>
      </c>
      <c r="P33" s="6">
        <v>60.960820109399997</v>
      </c>
      <c r="Q33" s="6">
        <v>60.129401260999998</v>
      </c>
    </row>
    <row r="34" spans="1:17" x14ac:dyDescent="0.25">
      <c r="A34">
        <v>32</v>
      </c>
      <c r="B34" s="6">
        <v>60.7113065765</v>
      </c>
      <c r="C34" s="6">
        <v>58.634505197099998</v>
      </c>
      <c r="D34" s="6">
        <v>60.784171855099999</v>
      </c>
      <c r="E34" s="6">
        <v>58.352544934800001</v>
      </c>
      <c r="F34" s="6">
        <v>9.3901096293999995</v>
      </c>
      <c r="G34" s="6">
        <v>15.702992801700001</v>
      </c>
      <c r="H34" s="6">
        <v>8.8105322989699992</v>
      </c>
      <c r="I34" s="6">
        <v>21.077706332799998</v>
      </c>
      <c r="J34" s="6">
        <v>69.071501674199993</v>
      </c>
      <c r="K34" s="6">
        <v>68.140426312599999</v>
      </c>
      <c r="L34" s="6">
        <v>77.467095624699994</v>
      </c>
      <c r="M34" s="6">
        <v>73.392087237799998</v>
      </c>
      <c r="N34" s="6">
        <v>56.755857918799997</v>
      </c>
      <c r="O34" s="6">
        <v>56.590537253400001</v>
      </c>
      <c r="P34" s="6">
        <v>60.915004836400001</v>
      </c>
      <c r="Q34" s="6">
        <v>59.994363480899999</v>
      </c>
    </row>
    <row r="35" spans="1:17" x14ac:dyDescent="0.25">
      <c r="A35">
        <v>33</v>
      </c>
      <c r="B35" s="6">
        <v>60.645340913699997</v>
      </c>
      <c r="C35" s="6">
        <v>59.658144579899997</v>
      </c>
      <c r="D35" s="6">
        <v>60.648813330199999</v>
      </c>
      <c r="E35" s="6">
        <v>58.5523854339</v>
      </c>
      <c r="F35" s="6">
        <v>9.3906730499699993</v>
      </c>
      <c r="G35" s="6">
        <v>14.497068581800001</v>
      </c>
      <c r="H35" s="6">
        <v>8.8117031864099999</v>
      </c>
      <c r="I35" s="6">
        <v>20.291945513800002</v>
      </c>
      <c r="J35" s="6">
        <v>69.0689223121</v>
      </c>
      <c r="K35" s="6">
        <v>68.319164259399997</v>
      </c>
      <c r="L35" s="6">
        <v>77.465648736199995</v>
      </c>
      <c r="M35" s="6">
        <v>73.300054370500007</v>
      </c>
      <c r="N35" s="6">
        <v>56.732387785999997</v>
      </c>
      <c r="O35" s="6">
        <v>56.834123199300002</v>
      </c>
      <c r="P35" s="6">
        <v>60.868783736200001</v>
      </c>
      <c r="Q35" s="6">
        <v>59.890466944000003</v>
      </c>
    </row>
    <row r="36" spans="1:17" x14ac:dyDescent="0.25">
      <c r="A36">
        <v>34</v>
      </c>
      <c r="B36" s="6">
        <v>60.580133720200003</v>
      </c>
      <c r="C36" s="6">
        <v>61.950046229999998</v>
      </c>
      <c r="D36" s="6">
        <v>60.510024935200001</v>
      </c>
      <c r="E36" s="6">
        <v>58.8284668242</v>
      </c>
      <c r="F36" s="6">
        <v>9.3893189331899993</v>
      </c>
      <c r="G36" s="6">
        <v>14.5818322796</v>
      </c>
      <c r="H36" s="6">
        <v>8.8162333258600007</v>
      </c>
      <c r="I36" s="6">
        <v>19.502790453500001</v>
      </c>
      <c r="J36" s="6">
        <v>69.065848862300001</v>
      </c>
      <c r="K36" s="6">
        <v>68.763214528899994</v>
      </c>
      <c r="L36" s="6">
        <v>77.464488577400004</v>
      </c>
      <c r="M36" s="6">
        <v>73.283736418199993</v>
      </c>
      <c r="N36" s="6">
        <v>56.708619812999999</v>
      </c>
      <c r="O36" s="6">
        <v>57.844604173199997</v>
      </c>
      <c r="P36" s="6">
        <v>60.8220839281</v>
      </c>
      <c r="Q36" s="6">
        <v>59.849877813100001</v>
      </c>
    </row>
    <row r="37" spans="1:17" x14ac:dyDescent="0.25">
      <c r="A37">
        <v>35</v>
      </c>
      <c r="B37" s="6">
        <v>60.514864378799999</v>
      </c>
      <c r="C37" s="6">
        <v>66.386641013200006</v>
      </c>
      <c r="D37" s="6">
        <v>60.367587919100004</v>
      </c>
      <c r="E37" s="6">
        <v>59.202026179500002</v>
      </c>
      <c r="F37" s="6">
        <v>9.3871002093999998</v>
      </c>
      <c r="G37" s="6">
        <v>21.288861899600001</v>
      </c>
      <c r="H37" s="6">
        <v>8.8242113206700008</v>
      </c>
      <c r="I37" s="6">
        <v>18.984851477700001</v>
      </c>
      <c r="J37" s="6">
        <v>69.0625873523</v>
      </c>
      <c r="K37" s="6">
        <v>69.333625325699998</v>
      </c>
      <c r="L37" s="6">
        <v>77.463601946799997</v>
      </c>
      <c r="M37" s="6">
        <v>73.351518108199997</v>
      </c>
      <c r="N37" s="6">
        <v>56.684598643199998</v>
      </c>
      <c r="O37" s="6">
        <v>60.695960025700003</v>
      </c>
      <c r="P37" s="6">
        <v>60.774839040099998</v>
      </c>
      <c r="Q37" s="6">
        <v>59.927670306099998</v>
      </c>
    </row>
    <row r="38" spans="1:17" x14ac:dyDescent="0.25">
      <c r="A38">
        <v>36</v>
      </c>
      <c r="B38" s="6">
        <v>60.448839773800003</v>
      </c>
      <c r="C38" s="6">
        <v>60.4080132056</v>
      </c>
      <c r="D38" s="6">
        <v>60.2217735897</v>
      </c>
      <c r="E38" s="6">
        <v>59.601750119000002</v>
      </c>
      <c r="F38" s="6">
        <v>9.3849316053600003</v>
      </c>
      <c r="G38" s="6">
        <v>25.418383801200001</v>
      </c>
      <c r="H38" s="6">
        <v>8.8349494771600003</v>
      </c>
      <c r="I38" s="6">
        <v>18.964007424999998</v>
      </c>
      <c r="J38" s="6">
        <v>69.059437420600005</v>
      </c>
      <c r="K38" s="6">
        <v>69.586162351499993</v>
      </c>
      <c r="L38" s="6">
        <v>77.462939497600004</v>
      </c>
      <c r="M38" s="6">
        <v>73.494091115000003</v>
      </c>
      <c r="N38" s="6">
        <v>56.660386744599997</v>
      </c>
      <c r="O38" s="6">
        <v>59.462455818099997</v>
      </c>
      <c r="P38" s="6">
        <v>60.727006384699997</v>
      </c>
      <c r="Q38" s="6">
        <v>60.131026020299998</v>
      </c>
    </row>
    <row r="39" spans="1:17" x14ac:dyDescent="0.25">
      <c r="A39">
        <v>37</v>
      </c>
      <c r="B39" s="6">
        <v>60.381606699099997</v>
      </c>
      <c r="C39" s="6">
        <v>56.042613191900003</v>
      </c>
      <c r="D39" s="6">
        <v>60.073152758399999</v>
      </c>
      <c r="E39" s="6">
        <v>61.925083037500002</v>
      </c>
      <c r="F39" s="6">
        <v>9.3834334005900004</v>
      </c>
      <c r="G39" s="6">
        <v>22.383771644799999</v>
      </c>
      <c r="H39" s="6">
        <v>8.8473654280399998</v>
      </c>
      <c r="I39" s="6">
        <v>21.3593484033</v>
      </c>
      <c r="J39" s="6">
        <v>69.056622025999999</v>
      </c>
      <c r="K39" s="6">
        <v>69.319518724999995</v>
      </c>
      <c r="L39" s="6">
        <v>77.462434537700005</v>
      </c>
      <c r="M39" s="6">
        <v>73.679695347600003</v>
      </c>
      <c r="N39" s="6">
        <v>56.636042100899999</v>
      </c>
      <c r="O39" s="6">
        <v>57.372280470900002</v>
      </c>
      <c r="P39" s="6">
        <v>60.678572828</v>
      </c>
      <c r="Q39" s="6">
        <v>61.389575506100002</v>
      </c>
    </row>
    <row r="40" spans="1:17" x14ac:dyDescent="0.25">
      <c r="A40">
        <v>38</v>
      </c>
      <c r="B40" s="6">
        <v>60.312974754899997</v>
      </c>
      <c r="C40" s="6">
        <v>55.393911968099999</v>
      </c>
      <c r="D40" s="6">
        <v>59.922384896099999</v>
      </c>
      <c r="E40" s="6">
        <v>60.197289055799999</v>
      </c>
      <c r="F40" s="6">
        <v>9.3828931926300001</v>
      </c>
      <c r="G40" s="6">
        <v>20.422898523200001</v>
      </c>
      <c r="H40" s="6">
        <v>8.8603473272199995</v>
      </c>
      <c r="I40" s="6">
        <v>24.286779570499998</v>
      </c>
      <c r="J40" s="6">
        <v>69.054258694200001</v>
      </c>
      <c r="K40" s="6">
        <v>68.840089935999998</v>
      </c>
      <c r="L40" s="6">
        <v>77.462020961600004</v>
      </c>
      <c r="M40" s="6">
        <v>73.803408601300006</v>
      </c>
      <c r="N40" s="6">
        <v>56.611605378699998</v>
      </c>
      <c r="O40" s="6">
        <v>56.6000537217</v>
      </c>
      <c r="P40" s="6">
        <v>60.629550761300003</v>
      </c>
      <c r="Q40" s="6">
        <v>61.334494467299997</v>
      </c>
    </row>
    <row r="41" spans="1:17" x14ac:dyDescent="0.25">
      <c r="A41">
        <v>39</v>
      </c>
      <c r="B41" s="6">
        <v>60.242974147699996</v>
      </c>
      <c r="C41" s="6">
        <v>55.830741814100001</v>
      </c>
      <c r="D41" s="6">
        <v>59.770042491200002</v>
      </c>
      <c r="E41" s="6">
        <v>57.4308381998</v>
      </c>
      <c r="F41" s="6">
        <v>9.3833141304699996</v>
      </c>
      <c r="G41" s="6">
        <v>18.793482109900001</v>
      </c>
      <c r="H41" s="6">
        <v>8.8730216998099998</v>
      </c>
      <c r="I41" s="6">
        <v>23.702997892500001</v>
      </c>
      <c r="J41" s="6">
        <v>69.052364482100003</v>
      </c>
      <c r="K41" s="6">
        <v>68.398184490899993</v>
      </c>
      <c r="L41" s="6">
        <v>77.461646273499994</v>
      </c>
      <c r="M41" s="6">
        <v>73.770327112399997</v>
      </c>
      <c r="N41" s="6">
        <v>56.587095860200002</v>
      </c>
      <c r="O41" s="6">
        <v>56.265777679300001</v>
      </c>
      <c r="P41" s="6">
        <v>60.579967995099999</v>
      </c>
      <c r="Q41" s="6">
        <v>60.291385419699999</v>
      </c>
    </row>
    <row r="42" spans="1:17" x14ac:dyDescent="0.25">
      <c r="A42">
        <v>40</v>
      </c>
      <c r="B42" s="6">
        <v>60.171779059099997</v>
      </c>
      <c r="C42" s="6">
        <v>56.654272241900003</v>
      </c>
      <c r="D42" s="6">
        <v>59.616502737799998</v>
      </c>
      <c r="E42" s="6">
        <v>56.565672329599998</v>
      </c>
      <c r="F42" s="6">
        <v>9.3845096030599997</v>
      </c>
      <c r="G42" s="6">
        <v>16.964113038899999</v>
      </c>
      <c r="H42" s="6">
        <v>8.8848890465399997</v>
      </c>
      <c r="I42" s="6">
        <v>22.742659355099999</v>
      </c>
      <c r="J42" s="6">
        <v>69.050882038599994</v>
      </c>
      <c r="K42" s="6">
        <v>68.137441003800006</v>
      </c>
      <c r="L42" s="6">
        <v>77.461277997300002</v>
      </c>
      <c r="M42" s="6">
        <v>73.633373191399997</v>
      </c>
      <c r="N42" s="6">
        <v>56.562513765299997</v>
      </c>
      <c r="O42" s="6">
        <v>56.121396671900001</v>
      </c>
      <c r="P42" s="6">
        <v>60.529856007399999</v>
      </c>
      <c r="Q42" s="6">
        <v>59.777697146800001</v>
      </c>
    </row>
    <row r="43" spans="1:17" x14ac:dyDescent="0.25">
      <c r="A43">
        <v>41</v>
      </c>
      <c r="B43" s="6">
        <v>60.0996247418</v>
      </c>
      <c r="C43" s="6">
        <v>57.714012228100003</v>
      </c>
      <c r="D43" s="6">
        <v>59.461914047</v>
      </c>
      <c r="E43" s="6">
        <v>56.484120951599998</v>
      </c>
      <c r="F43" s="6">
        <v>9.3862076868400006</v>
      </c>
      <c r="G43" s="6">
        <v>15.365115774</v>
      </c>
      <c r="H43" s="6">
        <v>8.8958331500199996</v>
      </c>
      <c r="I43" s="6">
        <v>21.882828761500001</v>
      </c>
      <c r="J43" s="6">
        <v>69.049713756800003</v>
      </c>
      <c r="K43" s="6">
        <v>68.1423129203</v>
      </c>
      <c r="L43" s="6">
        <v>77.460903818999995</v>
      </c>
      <c r="M43" s="6">
        <v>73.471689603000002</v>
      </c>
      <c r="N43" s="6">
        <v>56.537846085300004</v>
      </c>
      <c r="O43" s="6">
        <v>56.227100891900001</v>
      </c>
      <c r="P43" s="6">
        <v>60.479240193899997</v>
      </c>
      <c r="Q43" s="6">
        <v>59.5319913931</v>
      </c>
    </row>
    <row r="44" spans="1:17" x14ac:dyDescent="0.25">
      <c r="A44">
        <v>42</v>
      </c>
      <c r="B44" s="6">
        <v>60.026738614999999</v>
      </c>
      <c r="C44" s="6">
        <v>58.8322696197</v>
      </c>
      <c r="D44" s="6">
        <v>59.306225201399997</v>
      </c>
      <c r="E44" s="6">
        <v>56.713719002300003</v>
      </c>
      <c r="F44" s="6">
        <v>9.3881389906300008</v>
      </c>
      <c r="G44" s="6">
        <v>14.4838804202</v>
      </c>
      <c r="H44" s="6">
        <v>8.9060378274400005</v>
      </c>
      <c r="I44" s="6">
        <v>21.200433290300001</v>
      </c>
      <c r="J44" s="6">
        <v>69.048753659599996</v>
      </c>
      <c r="K44" s="6">
        <v>68.431730459400001</v>
      </c>
      <c r="L44" s="6">
        <v>77.4605271856</v>
      </c>
      <c r="M44" s="6">
        <v>73.339588880899996</v>
      </c>
      <c r="N44" s="6">
        <v>56.513073356200003</v>
      </c>
      <c r="O44" s="6">
        <v>56.609991658699997</v>
      </c>
      <c r="P44" s="6">
        <v>60.428134248399999</v>
      </c>
      <c r="Q44" s="6">
        <v>59.434408660400003</v>
      </c>
    </row>
    <row r="45" spans="1:17" x14ac:dyDescent="0.25">
      <c r="A45">
        <v>43</v>
      </c>
      <c r="B45" s="6">
        <v>59.953295862799997</v>
      </c>
      <c r="C45" s="6">
        <v>62.998766482699999</v>
      </c>
      <c r="D45" s="6">
        <v>59.149253497099998</v>
      </c>
      <c r="E45" s="6">
        <v>56.969641189500003</v>
      </c>
      <c r="F45" s="6">
        <v>9.3900941739300006</v>
      </c>
      <c r="G45" s="6">
        <v>16.748397461500002</v>
      </c>
      <c r="H45" s="6">
        <v>8.9158569478699992</v>
      </c>
      <c r="I45" s="6">
        <v>20.3882512689</v>
      </c>
      <c r="J45" s="6">
        <v>69.0479106879</v>
      </c>
      <c r="K45" s="6">
        <v>68.956687407700002</v>
      </c>
      <c r="L45" s="6">
        <v>77.460160663400004</v>
      </c>
      <c r="M45" s="6">
        <v>73.267668507300002</v>
      </c>
      <c r="N45" s="6">
        <v>56.488175550500003</v>
      </c>
      <c r="O45" s="6">
        <v>58.640581775599998</v>
      </c>
      <c r="P45" s="6">
        <v>60.376539135800002</v>
      </c>
      <c r="Q45" s="6">
        <v>59.355360235799999</v>
      </c>
    </row>
    <row r="46" spans="1:17" x14ac:dyDescent="0.25">
      <c r="A46">
        <v>44</v>
      </c>
      <c r="B46" s="6">
        <v>59.8794011747</v>
      </c>
      <c r="C46" s="6">
        <v>64.173974809200004</v>
      </c>
      <c r="D46" s="6">
        <v>58.990765380699997</v>
      </c>
      <c r="E46" s="6">
        <v>57.313904264100003</v>
      </c>
      <c r="F46" s="6">
        <v>9.3919487664899997</v>
      </c>
      <c r="G46" s="6">
        <v>24.083347355499999</v>
      </c>
      <c r="H46" s="6">
        <v>8.9256815084899994</v>
      </c>
      <c r="I46" s="6">
        <v>19.638883901700002</v>
      </c>
      <c r="J46" s="6">
        <v>69.047121127200001</v>
      </c>
      <c r="K46" s="6">
        <v>69.467846596699999</v>
      </c>
      <c r="L46" s="6">
        <v>77.459819226500002</v>
      </c>
      <c r="M46" s="6">
        <v>73.274140404099995</v>
      </c>
      <c r="N46" s="6">
        <v>56.4631361191</v>
      </c>
      <c r="O46" s="6">
        <v>60.461391684699997</v>
      </c>
      <c r="P46" s="6">
        <v>60.324445779999998</v>
      </c>
      <c r="Q46" s="6">
        <v>59.355583252999999</v>
      </c>
    </row>
    <row r="47" spans="1:17" x14ac:dyDescent="0.25">
      <c r="A47">
        <v>45</v>
      </c>
      <c r="B47" s="6">
        <v>59.805091967700001</v>
      </c>
      <c r="C47" s="6">
        <v>55.900935590700001</v>
      </c>
      <c r="D47" s="6">
        <v>58.830547217700001</v>
      </c>
      <c r="E47" s="6">
        <v>57.7347809412</v>
      </c>
      <c r="F47" s="6">
        <v>9.3936609227200005</v>
      </c>
      <c r="G47" s="6">
        <v>24.493914976900001</v>
      </c>
      <c r="H47" s="6">
        <v>8.9358358479500009</v>
      </c>
      <c r="I47" s="6">
        <v>19.222471815199999</v>
      </c>
      <c r="J47" s="6">
        <v>69.046351078800001</v>
      </c>
      <c r="K47" s="6">
        <v>69.513287954000006</v>
      </c>
      <c r="L47" s="6">
        <v>77.459515051400004</v>
      </c>
      <c r="M47" s="6">
        <v>73.363282209800005</v>
      </c>
      <c r="N47" s="6">
        <v>56.437943965700001</v>
      </c>
      <c r="O47" s="6">
        <v>57.757712348299997</v>
      </c>
      <c r="P47" s="6">
        <v>60.2718398138</v>
      </c>
      <c r="Q47" s="6">
        <v>59.476248801200001</v>
      </c>
    </row>
    <row r="48" spans="1:17" x14ac:dyDescent="0.25">
      <c r="A48">
        <v>46</v>
      </c>
      <c r="B48" s="6">
        <v>59.730355250899997</v>
      </c>
      <c r="C48" s="6">
        <v>53.684597718399999</v>
      </c>
      <c r="D48" s="6">
        <v>58.668452116899999</v>
      </c>
      <c r="E48" s="6">
        <v>58.575222531900003</v>
      </c>
      <c r="F48" s="6">
        <v>9.3952517887999996</v>
      </c>
      <c r="G48" s="6">
        <v>21.8366307744</v>
      </c>
      <c r="H48" s="6">
        <v>8.9465191212599997</v>
      </c>
      <c r="I48" s="6">
        <v>19.386584644799999</v>
      </c>
      <c r="J48" s="6">
        <v>69.045591775199995</v>
      </c>
      <c r="K48" s="6">
        <v>69.130508433599999</v>
      </c>
      <c r="L48" s="6">
        <v>77.459254588700006</v>
      </c>
      <c r="M48" s="6">
        <v>73.521365588500004</v>
      </c>
      <c r="N48" s="6">
        <v>56.412593656200002</v>
      </c>
      <c r="O48" s="6">
        <v>56.394331249300002</v>
      </c>
      <c r="P48" s="6">
        <v>60.218706596399997</v>
      </c>
      <c r="Q48" s="6">
        <v>59.865564238899999</v>
      </c>
    </row>
    <row r="49" spans="1:17" x14ac:dyDescent="0.25">
      <c r="A49">
        <v>47</v>
      </c>
      <c r="B49" s="6">
        <v>59.655149887699999</v>
      </c>
      <c r="C49" s="6">
        <v>53.684469014599998</v>
      </c>
      <c r="D49" s="6">
        <v>58.5044181353</v>
      </c>
      <c r="E49" s="6">
        <v>60.400780469200001</v>
      </c>
      <c r="F49" s="6">
        <v>9.3967787041200008</v>
      </c>
      <c r="G49" s="6">
        <v>20.131563076700001</v>
      </c>
      <c r="H49" s="6">
        <v>8.9577929239799996</v>
      </c>
      <c r="I49" s="6">
        <v>22.533891119</v>
      </c>
      <c r="J49" s="6">
        <v>69.044851172099996</v>
      </c>
      <c r="K49" s="6">
        <v>68.645795354000001</v>
      </c>
      <c r="L49" s="6">
        <v>77.459037931400005</v>
      </c>
      <c r="M49" s="6">
        <v>73.706476072300006</v>
      </c>
      <c r="N49" s="6">
        <v>56.387084435600002</v>
      </c>
      <c r="O49" s="6">
        <v>55.879010037699999</v>
      </c>
      <c r="P49" s="6">
        <v>60.165035069799998</v>
      </c>
      <c r="Q49" s="6">
        <v>61.075508636899997</v>
      </c>
    </row>
    <row r="50" spans="1:17" x14ac:dyDescent="0.25">
      <c r="A50">
        <v>48</v>
      </c>
      <c r="B50" s="6">
        <v>59.579427558500001</v>
      </c>
      <c r="C50" s="6">
        <v>54.4199685014</v>
      </c>
      <c r="D50" s="6">
        <v>58.3384612089</v>
      </c>
      <c r="E50" s="6">
        <v>57.269807554899998</v>
      </c>
      <c r="F50" s="6">
        <v>9.3983095704400004</v>
      </c>
      <c r="G50" s="6">
        <v>18.3791813301</v>
      </c>
      <c r="H50" s="6">
        <v>8.9696048369400003</v>
      </c>
      <c r="I50" s="6">
        <v>24.750240809299999</v>
      </c>
      <c r="J50" s="6">
        <v>69.044144906200003</v>
      </c>
      <c r="K50" s="6">
        <v>68.259077307200002</v>
      </c>
      <c r="L50" s="6">
        <v>77.458859954600001</v>
      </c>
      <c r="M50" s="6">
        <v>73.798926905599998</v>
      </c>
      <c r="N50" s="6">
        <v>56.361418671999999</v>
      </c>
      <c r="O50" s="6">
        <v>55.653747168300001</v>
      </c>
      <c r="P50" s="6">
        <v>60.110819692699998</v>
      </c>
      <c r="Q50" s="6">
        <v>60.418041255399999</v>
      </c>
    </row>
    <row r="51" spans="1:17" x14ac:dyDescent="0.25">
      <c r="A51">
        <v>49</v>
      </c>
      <c r="B51" s="6">
        <v>59.503148231700003</v>
      </c>
      <c r="C51" s="6">
        <v>55.489637478399999</v>
      </c>
      <c r="D51" s="6">
        <v>58.170651241599998</v>
      </c>
      <c r="E51" s="6">
        <v>55.126680798499997</v>
      </c>
      <c r="F51" s="6">
        <v>9.3999036386399997</v>
      </c>
      <c r="G51" s="6">
        <v>16.560072914900001</v>
      </c>
      <c r="H51" s="6">
        <v>8.9818321263600005</v>
      </c>
      <c r="I51" s="6">
        <v>23.846597374800002</v>
      </c>
      <c r="J51" s="6">
        <v>69.043488805099997</v>
      </c>
      <c r="K51" s="6">
        <v>68.090732625100003</v>
      </c>
      <c r="L51" s="6">
        <v>77.458712436699997</v>
      </c>
      <c r="M51" s="6">
        <v>73.736418093099999</v>
      </c>
      <c r="N51" s="6">
        <v>56.335600250399999</v>
      </c>
      <c r="O51" s="6">
        <v>55.640580068399998</v>
      </c>
      <c r="P51" s="6">
        <v>60.056060391199999</v>
      </c>
      <c r="Q51" s="6">
        <v>59.519582963399998</v>
      </c>
    </row>
    <row r="52" spans="1:17" x14ac:dyDescent="0.25">
      <c r="A52">
        <v>50</v>
      </c>
      <c r="B52" s="6">
        <v>59.426288549200002</v>
      </c>
      <c r="C52" s="6">
        <v>56.721575375100002</v>
      </c>
      <c r="D52" s="6">
        <v>58.001081523400003</v>
      </c>
      <c r="E52" s="6">
        <v>54.473876065399999</v>
      </c>
      <c r="F52" s="6">
        <v>9.4016007683900007</v>
      </c>
      <c r="G52" s="6">
        <v>15.153835659</v>
      </c>
      <c r="H52" s="6">
        <v>8.9943295909199996</v>
      </c>
      <c r="I52" s="6">
        <v>22.892177545599999</v>
      </c>
      <c r="J52" s="6">
        <v>69.042894052099996</v>
      </c>
      <c r="K52" s="6">
        <v>68.202036861899998</v>
      </c>
      <c r="L52" s="6">
        <v>77.458586372499994</v>
      </c>
      <c r="M52" s="6">
        <v>73.589289407199999</v>
      </c>
      <c r="N52" s="6">
        <v>56.309633259500004</v>
      </c>
      <c r="O52" s="6">
        <v>55.8886436381</v>
      </c>
      <c r="P52" s="6">
        <v>60.0007610145</v>
      </c>
      <c r="Q52" s="6">
        <v>59.0733784982</v>
      </c>
    </row>
    <row r="53" spans="1:17" x14ac:dyDescent="0.25">
      <c r="A53">
        <v>51</v>
      </c>
      <c r="B53" s="6">
        <v>59.348843623199997</v>
      </c>
      <c r="C53" s="6">
        <v>57.892388077600003</v>
      </c>
      <c r="D53" s="6">
        <v>57.829840506899998</v>
      </c>
      <c r="E53" s="6">
        <v>54.555039215500003</v>
      </c>
      <c r="F53" s="6">
        <v>9.4034186507499999</v>
      </c>
      <c r="G53" s="6">
        <v>14.635002611199999</v>
      </c>
      <c r="H53" s="6">
        <v>9.0069691379499996</v>
      </c>
      <c r="I53" s="6">
        <v>22.0675553371</v>
      </c>
      <c r="J53" s="6">
        <v>69.0423651535</v>
      </c>
      <c r="K53" s="6">
        <v>68.587275003399995</v>
      </c>
      <c r="L53" s="6">
        <v>77.458473867500004</v>
      </c>
      <c r="M53" s="6">
        <v>73.4312114815</v>
      </c>
      <c r="N53" s="6">
        <v>56.283521132799997</v>
      </c>
      <c r="O53" s="6">
        <v>56.395163339500002</v>
      </c>
      <c r="P53" s="6">
        <v>59.9449270605</v>
      </c>
      <c r="Q53" s="6">
        <v>58.889999770300001</v>
      </c>
    </row>
    <row r="54" spans="1:17" x14ac:dyDescent="0.25">
      <c r="A54">
        <v>52</v>
      </c>
      <c r="B54" s="6">
        <v>59.270824028600003</v>
      </c>
      <c r="C54" s="6">
        <v>63.365505541200001</v>
      </c>
      <c r="D54" s="6">
        <v>57.656991995299997</v>
      </c>
      <c r="E54" s="6">
        <v>54.865006253099999</v>
      </c>
      <c r="F54" s="6">
        <v>9.4053559010299992</v>
      </c>
      <c r="G54" s="6">
        <v>19.718407189899999</v>
      </c>
      <c r="H54" s="6">
        <v>9.0196641514000007</v>
      </c>
      <c r="I54" s="6">
        <v>21.3726182662</v>
      </c>
      <c r="J54" s="6">
        <v>69.041900187400003</v>
      </c>
      <c r="K54" s="6">
        <v>69.158116448800001</v>
      </c>
      <c r="L54" s="6">
        <v>77.458369282600003</v>
      </c>
      <c r="M54" s="6">
        <v>73.310750476600006</v>
      </c>
      <c r="N54" s="6">
        <v>56.257266251200001</v>
      </c>
      <c r="O54" s="6">
        <v>59.338234512600003</v>
      </c>
      <c r="P54" s="6">
        <v>59.888563442299997</v>
      </c>
      <c r="Q54" s="6">
        <v>58.8234037012</v>
      </c>
    </row>
    <row r="55" spans="1:17" x14ac:dyDescent="0.25">
      <c r="A55">
        <v>53</v>
      </c>
      <c r="B55" s="6">
        <v>59.192250246299999</v>
      </c>
      <c r="C55" s="6">
        <v>59.742241978499997</v>
      </c>
      <c r="D55" s="6">
        <v>57.482566186500001</v>
      </c>
      <c r="E55" s="6">
        <v>55.1974187247</v>
      </c>
      <c r="F55" s="6">
        <v>9.4073983452499998</v>
      </c>
      <c r="G55" s="6">
        <v>25.932566387000001</v>
      </c>
      <c r="H55" s="6">
        <v>9.0323772590800004</v>
      </c>
      <c r="I55" s="6">
        <v>20.543285147300001</v>
      </c>
      <c r="J55" s="6">
        <v>69.041492493199996</v>
      </c>
      <c r="K55" s="6">
        <v>69.542376687100003</v>
      </c>
      <c r="L55" s="6">
        <v>77.4582695669</v>
      </c>
      <c r="M55" s="6">
        <v>73.254954373499999</v>
      </c>
      <c r="N55" s="6">
        <v>56.2308699182</v>
      </c>
      <c r="O55" s="6">
        <v>59.297534888400001</v>
      </c>
      <c r="P55" s="6">
        <v>59.831672869499997</v>
      </c>
      <c r="Q55" s="6">
        <v>58.7755574579</v>
      </c>
    </row>
    <row r="56" spans="1:17" x14ac:dyDescent="0.25">
      <c r="A56">
        <v>54</v>
      </c>
      <c r="B56" s="6">
        <v>59.113146627699997</v>
      </c>
      <c r="C56" s="6">
        <v>52.633549925499999</v>
      </c>
      <c r="D56" s="6">
        <v>57.306560794699998</v>
      </c>
      <c r="E56" s="6">
        <v>55.619355205300003</v>
      </c>
      <c r="F56" s="6">
        <v>9.4095260279000001</v>
      </c>
      <c r="G56" s="6">
        <v>23.700909178100002</v>
      </c>
      <c r="H56" s="6">
        <v>9.0451143975000008</v>
      </c>
      <c r="I56" s="6">
        <v>19.835410017099999</v>
      </c>
      <c r="J56" s="6">
        <v>69.041132924300001</v>
      </c>
      <c r="K56" s="6">
        <v>69.397653288599997</v>
      </c>
      <c r="L56" s="6">
        <v>77.458173928299999</v>
      </c>
      <c r="M56" s="6">
        <v>73.279565289999994</v>
      </c>
      <c r="N56" s="6">
        <v>56.204332571999998</v>
      </c>
      <c r="O56" s="6">
        <v>56.470709110000001</v>
      </c>
      <c r="P56" s="6">
        <v>59.774255116200003</v>
      </c>
      <c r="Q56" s="6">
        <v>58.817725466500001</v>
      </c>
    </row>
    <row r="57" spans="1:17" x14ac:dyDescent="0.25">
      <c r="A57">
        <v>55</v>
      </c>
      <c r="B57" s="6">
        <v>59.033536373399997</v>
      </c>
      <c r="C57" s="6">
        <v>51.443251703800001</v>
      </c>
      <c r="D57" s="6">
        <v>57.128949302700001</v>
      </c>
      <c r="E57" s="6">
        <v>56.085013257699998</v>
      </c>
      <c r="F57" s="6">
        <v>9.4117191492399996</v>
      </c>
      <c r="G57" s="6">
        <v>21.4574409481</v>
      </c>
      <c r="H57" s="6">
        <v>9.0579104635400007</v>
      </c>
      <c r="I57" s="6">
        <v>19.515000710100001</v>
      </c>
      <c r="J57" s="6">
        <v>69.040811968900002</v>
      </c>
      <c r="K57" s="6">
        <v>68.948040600100001</v>
      </c>
      <c r="L57" s="6">
        <v>77.458083102800003</v>
      </c>
      <c r="M57" s="6">
        <v>73.385259370499995</v>
      </c>
      <c r="N57" s="6">
        <v>56.177654103599998</v>
      </c>
      <c r="O57" s="6">
        <v>55.485766170399998</v>
      </c>
      <c r="P57" s="6">
        <v>59.716307155999999</v>
      </c>
      <c r="Q57" s="6">
        <v>58.977108969600003</v>
      </c>
    </row>
    <row r="58" spans="1:17" x14ac:dyDescent="0.25">
      <c r="A58">
        <v>56</v>
      </c>
      <c r="B58" s="6">
        <v>58.953438301799999</v>
      </c>
      <c r="C58" s="6">
        <v>51.948350438299997</v>
      </c>
      <c r="D58" s="6">
        <v>56.949692500600001</v>
      </c>
      <c r="E58" s="6">
        <v>57.489906579299998</v>
      </c>
      <c r="F58" s="6">
        <v>9.4139619844000002</v>
      </c>
      <c r="G58" s="6">
        <v>19.824653239300002</v>
      </c>
      <c r="H58" s="6">
        <v>9.0708123115799992</v>
      </c>
      <c r="I58" s="6">
        <v>20.081310244099999</v>
      </c>
      <c r="J58" s="6">
        <v>69.040521303700004</v>
      </c>
      <c r="K58" s="6">
        <v>68.481489371099997</v>
      </c>
      <c r="L58" s="6">
        <v>77.457998506400003</v>
      </c>
      <c r="M58" s="6">
        <v>73.554533055999997</v>
      </c>
      <c r="N58" s="6">
        <v>56.150834171500001</v>
      </c>
      <c r="O58" s="6">
        <v>55.161584343199998</v>
      </c>
      <c r="P58" s="6">
        <v>59.657823923300001</v>
      </c>
      <c r="Q58" s="6">
        <v>59.626524671600002</v>
      </c>
    </row>
    <row r="59" spans="1:17" x14ac:dyDescent="0.25">
      <c r="A59">
        <v>57</v>
      </c>
      <c r="B59" s="6">
        <v>58.872865532299997</v>
      </c>
      <c r="C59" s="6">
        <v>52.984648491900003</v>
      </c>
      <c r="D59" s="6">
        <v>56.768749720300001</v>
      </c>
      <c r="E59" s="6">
        <v>58.376844516699997</v>
      </c>
      <c r="F59" s="6">
        <v>9.4162446035199991</v>
      </c>
      <c r="G59" s="6">
        <v>17.9774221465</v>
      </c>
      <c r="H59" s="6">
        <v>9.0838638404399994</v>
      </c>
      <c r="I59" s="6">
        <v>23.6304878782</v>
      </c>
      <c r="J59" s="6">
        <v>69.040254625200006</v>
      </c>
      <c r="K59" s="6">
        <v>68.162136343</v>
      </c>
      <c r="L59" s="6">
        <v>77.457921496699996</v>
      </c>
      <c r="M59" s="6">
        <v>73.732791136000003</v>
      </c>
      <c r="N59" s="6">
        <v>56.123872450100002</v>
      </c>
      <c r="O59" s="6">
        <v>55.056656712600002</v>
      </c>
      <c r="P59" s="6">
        <v>59.598799361200001</v>
      </c>
      <c r="Q59" s="6">
        <v>60.580197963000003</v>
      </c>
    </row>
    <row r="60" spans="1:17" x14ac:dyDescent="0.25">
      <c r="A60">
        <v>58</v>
      </c>
      <c r="B60" s="6">
        <v>58.791825745799997</v>
      </c>
      <c r="C60" s="6">
        <v>54.2956064615</v>
      </c>
      <c r="D60" s="6">
        <v>56.586087209600002</v>
      </c>
      <c r="E60" s="6">
        <v>54.3946472923</v>
      </c>
      <c r="F60" s="6">
        <v>9.4185627578699993</v>
      </c>
      <c r="G60" s="6">
        <v>16.224892752599999</v>
      </c>
      <c r="H60" s="6">
        <v>9.0970960736599995</v>
      </c>
      <c r="I60" s="6">
        <v>25.010913925699999</v>
      </c>
      <c r="J60" s="6">
        <v>69.040007811600006</v>
      </c>
      <c r="K60" s="6">
        <v>68.090216757899995</v>
      </c>
      <c r="L60" s="6">
        <v>77.457852884000005</v>
      </c>
      <c r="M60" s="6">
        <v>73.793790529000006</v>
      </c>
      <c r="N60" s="6">
        <v>56.096768780200001</v>
      </c>
      <c r="O60" s="6">
        <v>55.184053349899997</v>
      </c>
      <c r="P60" s="6">
        <v>59.539227422899998</v>
      </c>
      <c r="Q60" s="6">
        <v>59.486654732600002</v>
      </c>
    </row>
    <row r="61" spans="1:17" x14ac:dyDescent="0.25">
      <c r="A61">
        <v>59</v>
      </c>
      <c r="B61" s="6">
        <v>58.710322448299998</v>
      </c>
      <c r="C61" s="6">
        <v>55.6678192197</v>
      </c>
      <c r="D61" s="6">
        <v>56.401682445699997</v>
      </c>
      <c r="E61" s="6">
        <v>52.643144149400001</v>
      </c>
      <c r="F61" s="6">
        <v>9.4209165776500008</v>
      </c>
      <c r="G61" s="6">
        <v>15.0691060523</v>
      </c>
      <c r="H61" s="6">
        <v>9.1105231385300005</v>
      </c>
      <c r="I61" s="6">
        <v>24.051123116100001</v>
      </c>
      <c r="J61" s="6">
        <v>69.039778601899997</v>
      </c>
      <c r="K61" s="6">
        <v>68.303392318600004</v>
      </c>
      <c r="L61" s="6">
        <v>77.457792732200005</v>
      </c>
      <c r="M61" s="6">
        <v>73.707837364200003</v>
      </c>
      <c r="N61" s="6">
        <v>56.069523227600001</v>
      </c>
      <c r="O61" s="6">
        <v>55.570584733499999</v>
      </c>
      <c r="P61" s="6">
        <v>59.479102787099997</v>
      </c>
      <c r="Q61" s="6">
        <v>58.699620989000003</v>
      </c>
    </row>
    <row r="62" spans="1:17" x14ac:dyDescent="0.25">
      <c r="A62">
        <v>60</v>
      </c>
      <c r="B62" s="6">
        <v>58.628356634100001</v>
      </c>
      <c r="C62" s="6">
        <v>58.7476799015</v>
      </c>
      <c r="D62" s="6">
        <v>56.215524469499996</v>
      </c>
      <c r="E62" s="6">
        <v>52.201398477600002</v>
      </c>
      <c r="F62" s="6">
        <v>9.4233087698899993</v>
      </c>
      <c r="G62" s="6">
        <v>15.578183493299999</v>
      </c>
      <c r="H62" s="6">
        <v>9.1241434059300008</v>
      </c>
      <c r="I62" s="6">
        <v>23.095582497199999</v>
      </c>
      <c r="J62" s="6">
        <v>69.039566020899997</v>
      </c>
      <c r="K62" s="6">
        <v>68.772698595899996</v>
      </c>
      <c r="L62" s="6">
        <v>77.457740409899998</v>
      </c>
      <c r="M62" s="6">
        <v>73.553778964800003</v>
      </c>
      <c r="N62" s="6">
        <v>56.042136067199998</v>
      </c>
      <c r="O62" s="6">
        <v>56.927191984399997</v>
      </c>
      <c r="P62" s="6">
        <v>59.418421178599999</v>
      </c>
      <c r="Q62" s="6">
        <v>58.3209747728</v>
      </c>
    </row>
    <row r="63" spans="1:17" x14ac:dyDescent="0.25">
      <c r="F63" s="3"/>
    </row>
    <row r="65" spans="2:17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2:17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2:17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1790-F35B-4B30-9375-B12BED2232F6}">
  <dimension ref="A1:Q63"/>
  <sheetViews>
    <sheetView zoomScaleNormal="100" workbookViewId="0">
      <pane ySplit="1" topLeftCell="A2" activePane="bottomLeft" state="frozen"/>
      <selection pane="bottomLeft" activeCell="I62" sqref="I2:I62"/>
    </sheetView>
  </sheetViews>
  <sheetFormatPr baseColWidth="10" defaultRowHeight="15" x14ac:dyDescent="0.25"/>
  <cols>
    <col min="2" max="5" width="11.140625" bestFit="1" customWidth="1"/>
    <col min="6" max="13" width="10.42578125" bestFit="1" customWidth="1"/>
    <col min="14" max="17" width="9.7109375" bestFit="1" customWidth="1"/>
  </cols>
  <sheetData>
    <row r="1" spans="1:17" x14ac:dyDescent="0.25">
      <c r="A1" t="s">
        <v>0</v>
      </c>
      <c r="B1" s="1" t="s">
        <v>61</v>
      </c>
      <c r="C1" s="1" t="s">
        <v>86</v>
      </c>
      <c r="D1" s="1" t="s">
        <v>87</v>
      </c>
      <c r="E1" s="1" t="s">
        <v>88</v>
      </c>
      <c r="F1" t="s">
        <v>43</v>
      </c>
      <c r="G1" t="s">
        <v>89</v>
      </c>
      <c r="H1" t="s">
        <v>90</v>
      </c>
      <c r="I1" t="s">
        <v>91</v>
      </c>
      <c r="J1" t="s">
        <v>46</v>
      </c>
      <c r="K1" t="s">
        <v>92</v>
      </c>
      <c r="L1" t="s">
        <v>93</v>
      </c>
      <c r="M1" t="s">
        <v>94</v>
      </c>
      <c r="N1" t="s">
        <v>49</v>
      </c>
      <c r="O1" t="s">
        <v>95</v>
      </c>
      <c r="P1" t="s">
        <v>96</v>
      </c>
      <c r="Q1" t="s">
        <v>97</v>
      </c>
    </row>
    <row r="2" spans="1:17" x14ac:dyDescent="0.25">
      <c r="A2">
        <v>0</v>
      </c>
      <c r="B2" s="6">
        <v>74.494774371899993</v>
      </c>
      <c r="C2" s="6">
        <v>73.821157280600005</v>
      </c>
      <c r="D2" s="6">
        <v>74.844424715399995</v>
      </c>
      <c r="E2" s="6">
        <v>73.938464832600005</v>
      </c>
      <c r="F2" s="6">
        <v>5.3268111360699999</v>
      </c>
      <c r="G2" s="6">
        <v>6.1099755930299997</v>
      </c>
      <c r="H2" s="6">
        <v>6.87732496907</v>
      </c>
      <c r="I2" s="6">
        <v>7.9787680661899998</v>
      </c>
      <c r="J2" s="6">
        <v>61.108540746000003</v>
      </c>
      <c r="K2" s="6">
        <v>61.231155662200003</v>
      </c>
      <c r="L2" s="6">
        <v>76.350007927299998</v>
      </c>
      <c r="M2" s="6">
        <v>69.443264229899995</v>
      </c>
      <c r="N2" s="6">
        <v>56.7519570722</v>
      </c>
      <c r="O2" s="6">
        <v>56.710953479600001</v>
      </c>
      <c r="P2" s="6">
        <v>64.789925742799994</v>
      </c>
      <c r="Q2" s="6">
        <v>61.182219198200002</v>
      </c>
    </row>
    <row r="3" spans="1:17" x14ac:dyDescent="0.25">
      <c r="A3">
        <v>1</v>
      </c>
      <c r="B3" s="6">
        <v>71.1300234964</v>
      </c>
      <c r="C3" s="6">
        <v>66.951360384699996</v>
      </c>
      <c r="D3" s="6">
        <v>71.495817843300003</v>
      </c>
      <c r="E3" s="6">
        <v>66.815910499500006</v>
      </c>
      <c r="F3" s="6">
        <v>22.021274960500001</v>
      </c>
      <c r="G3" s="6">
        <v>22.596987175700001</v>
      </c>
      <c r="H3" s="6">
        <v>23.497140739900001</v>
      </c>
      <c r="I3" s="6">
        <v>24.257073095900001</v>
      </c>
      <c r="J3" s="6">
        <v>65.087398777999994</v>
      </c>
      <c r="K3" s="6">
        <v>65.183048398300002</v>
      </c>
      <c r="L3" s="6">
        <v>76.935021975699996</v>
      </c>
      <c r="M3" s="6">
        <v>71.575792665199998</v>
      </c>
      <c r="N3" s="6">
        <v>60.275445516399998</v>
      </c>
      <c r="O3" s="6">
        <v>59.005029155099997</v>
      </c>
      <c r="P3" s="6">
        <v>66.598357342900002</v>
      </c>
      <c r="Q3" s="6">
        <v>62.4418375463</v>
      </c>
    </row>
    <row r="4" spans="1:17" x14ac:dyDescent="0.25">
      <c r="A4">
        <v>2</v>
      </c>
      <c r="B4" s="6">
        <v>65.901706906200005</v>
      </c>
      <c r="C4" s="6">
        <v>92.989253930900006</v>
      </c>
      <c r="D4" s="6">
        <v>65.476692963600001</v>
      </c>
      <c r="E4" s="6">
        <v>94.076258383699994</v>
      </c>
      <c r="F4" s="6">
        <v>31.540819007700001</v>
      </c>
      <c r="G4" s="6">
        <v>36.8739718048</v>
      </c>
      <c r="H4" s="6">
        <v>30.8778585624</v>
      </c>
      <c r="I4" s="6">
        <v>38.032991486900002</v>
      </c>
      <c r="J4" s="6">
        <v>67.508311168500001</v>
      </c>
      <c r="K4" s="6">
        <v>67.978196981599993</v>
      </c>
      <c r="L4" s="6">
        <v>77.288936390200007</v>
      </c>
      <c r="M4" s="6">
        <v>73.075582586199999</v>
      </c>
      <c r="N4" s="6">
        <v>61.244280630200002</v>
      </c>
      <c r="O4" s="6">
        <v>71.470397256400005</v>
      </c>
      <c r="P4" s="6">
        <v>65.919438701100006</v>
      </c>
      <c r="Q4" s="6">
        <v>74.587883193899998</v>
      </c>
    </row>
    <row r="5" spans="1:17" x14ac:dyDescent="0.25">
      <c r="A5">
        <v>3</v>
      </c>
      <c r="B5" s="6">
        <v>56.445038898</v>
      </c>
      <c r="C5" s="6">
        <v>66.310306407499993</v>
      </c>
      <c r="D5" s="6">
        <v>57.184835995</v>
      </c>
      <c r="E5" s="6">
        <v>64.793264406299997</v>
      </c>
      <c r="F5" s="6">
        <v>19.693233239200001</v>
      </c>
      <c r="G5" s="6">
        <v>40.890718848699997</v>
      </c>
      <c r="H5" s="6">
        <v>18.910667093600001</v>
      </c>
      <c r="I5" s="6">
        <v>40.479947614499999</v>
      </c>
      <c r="J5" s="6">
        <v>68.328551517700006</v>
      </c>
      <c r="K5" s="6">
        <v>69.505744877799998</v>
      </c>
      <c r="L5" s="6">
        <v>77.421871528799997</v>
      </c>
      <c r="M5" s="6">
        <v>73.872052139499999</v>
      </c>
      <c r="N5" s="6">
        <v>56.581161609500001</v>
      </c>
      <c r="O5" s="6">
        <v>63.8751968077</v>
      </c>
      <c r="P5" s="6">
        <v>61.284353162400002</v>
      </c>
      <c r="Q5" s="6">
        <v>65.496115043399996</v>
      </c>
    </row>
    <row r="6" spans="1:17" x14ac:dyDescent="0.25">
      <c r="A6">
        <v>4</v>
      </c>
      <c r="B6" s="6">
        <v>59.386145601599999</v>
      </c>
      <c r="C6" s="6">
        <v>56.906742666900001</v>
      </c>
      <c r="D6" s="6">
        <v>60.750559850099997</v>
      </c>
      <c r="E6" s="6">
        <v>57.069275835600003</v>
      </c>
      <c r="F6" s="6">
        <v>11.8402886685</v>
      </c>
      <c r="G6" s="6">
        <v>26.753896231999999</v>
      </c>
      <c r="H6" s="6">
        <v>10.7776156611</v>
      </c>
      <c r="I6" s="6">
        <v>26.586906101299999</v>
      </c>
      <c r="J6" s="6">
        <v>68.520531676900006</v>
      </c>
      <c r="K6" s="6">
        <v>69.670814227099996</v>
      </c>
      <c r="L6" s="6">
        <v>77.474015774999998</v>
      </c>
      <c r="M6" s="6">
        <v>73.967244769800004</v>
      </c>
      <c r="N6" s="6">
        <v>56.421059661000001</v>
      </c>
      <c r="O6" s="6">
        <v>58.5359719068</v>
      </c>
      <c r="P6" s="6">
        <v>61.2200775361</v>
      </c>
      <c r="Q6" s="6">
        <v>60.7272923676</v>
      </c>
    </row>
    <row r="7" spans="1:17" x14ac:dyDescent="0.25">
      <c r="A7">
        <v>5</v>
      </c>
      <c r="B7" s="6">
        <v>61.910833179599997</v>
      </c>
      <c r="C7" s="6">
        <v>58.523042965199998</v>
      </c>
      <c r="D7" s="6">
        <v>63.747649357500002</v>
      </c>
      <c r="E7" s="6">
        <v>59.1309479831</v>
      </c>
      <c r="F7" s="6">
        <v>9.2288441023699992</v>
      </c>
      <c r="G7" s="6">
        <v>20.7210787016</v>
      </c>
      <c r="H7" s="6">
        <v>8.3331928226900001</v>
      </c>
      <c r="I7" s="6">
        <v>21.408062918100001</v>
      </c>
      <c r="J7" s="6">
        <v>68.716196973799995</v>
      </c>
      <c r="K7" s="6">
        <v>69.359334317600002</v>
      </c>
      <c r="L7" s="6">
        <v>77.537229404599998</v>
      </c>
      <c r="M7" s="6">
        <v>73.8488585156</v>
      </c>
      <c r="N7" s="6">
        <v>56.956124858599999</v>
      </c>
      <c r="O7" s="6">
        <v>57.9648789632</v>
      </c>
      <c r="P7" s="6">
        <v>61.8744501965</v>
      </c>
      <c r="Q7" s="6">
        <v>60.539564060799997</v>
      </c>
    </row>
    <row r="8" spans="1:17" x14ac:dyDescent="0.25">
      <c r="A8">
        <v>6</v>
      </c>
      <c r="B8" s="6">
        <v>63.27808967</v>
      </c>
      <c r="C8" s="6">
        <v>60.537134313400003</v>
      </c>
      <c r="D8" s="6">
        <v>67.000676274499995</v>
      </c>
      <c r="E8" s="6">
        <v>61.2792604264</v>
      </c>
      <c r="F8" s="6">
        <v>8.1419025253800008</v>
      </c>
      <c r="G8" s="6">
        <v>16.967293853099999</v>
      </c>
      <c r="H8" s="6">
        <v>10.555719928</v>
      </c>
      <c r="I8" s="6">
        <v>18.739758476700001</v>
      </c>
      <c r="J8" s="6">
        <v>69.010421140199995</v>
      </c>
      <c r="K8" s="6">
        <v>69.106111943900004</v>
      </c>
      <c r="L8" s="6">
        <v>77.616547544900001</v>
      </c>
      <c r="M8" s="6">
        <v>73.776320756299995</v>
      </c>
      <c r="N8" s="6">
        <v>57.3927397255</v>
      </c>
      <c r="O8" s="6">
        <v>57.919914655100001</v>
      </c>
      <c r="P8" s="6">
        <v>63.365738398200001</v>
      </c>
      <c r="Q8" s="6">
        <v>60.803543114</v>
      </c>
    </row>
    <row r="9" spans="1:17" x14ac:dyDescent="0.25">
      <c r="A9">
        <v>7</v>
      </c>
      <c r="B9" s="6">
        <v>64.594435232400002</v>
      </c>
      <c r="C9" s="6">
        <v>62.436370081500002</v>
      </c>
      <c r="D9" s="6">
        <v>66.639302384600001</v>
      </c>
      <c r="E9" s="6">
        <v>63.020292316899997</v>
      </c>
      <c r="F9" s="6">
        <v>8.5348525527899994</v>
      </c>
      <c r="G9" s="6">
        <v>14.273965884000001</v>
      </c>
      <c r="H9" s="6">
        <v>14.6945880084</v>
      </c>
      <c r="I9" s="6">
        <v>16.9999708426</v>
      </c>
      <c r="J9" s="6">
        <v>69.379572323999994</v>
      </c>
      <c r="K9" s="6">
        <v>69.120678100199996</v>
      </c>
      <c r="L9" s="6">
        <v>77.678387937500005</v>
      </c>
      <c r="M9" s="6">
        <v>73.829732838799998</v>
      </c>
      <c r="N9" s="6">
        <v>58.085323064900003</v>
      </c>
      <c r="O9" s="6">
        <v>58.139710327099998</v>
      </c>
      <c r="P9" s="6">
        <v>63.933348498599997</v>
      </c>
      <c r="Q9" s="6">
        <v>61.141200382299999</v>
      </c>
    </row>
    <row r="10" spans="1:17" x14ac:dyDescent="0.25">
      <c r="A10">
        <v>8</v>
      </c>
      <c r="B10" s="6">
        <v>65.084609649699999</v>
      </c>
      <c r="C10" s="6">
        <v>64.083626246600005</v>
      </c>
      <c r="D10" s="6">
        <v>62.864137737699998</v>
      </c>
      <c r="E10" s="6">
        <v>65.514063607500006</v>
      </c>
      <c r="F10" s="6">
        <v>13.158723329500001</v>
      </c>
      <c r="G10" s="6">
        <v>12.9163400204</v>
      </c>
      <c r="H10" s="6">
        <v>11.802101605800001</v>
      </c>
      <c r="I10" s="6">
        <v>16.630051476799999</v>
      </c>
      <c r="J10" s="6">
        <v>69.716856656100006</v>
      </c>
      <c r="K10" s="6">
        <v>69.4743614482</v>
      </c>
      <c r="L10" s="6">
        <v>77.687773561300006</v>
      </c>
      <c r="M10" s="6">
        <v>74.027018096099994</v>
      </c>
      <c r="N10" s="6">
        <v>59.156130351800002</v>
      </c>
      <c r="O10" s="6">
        <v>58.657688775700002</v>
      </c>
      <c r="P10" s="6">
        <v>62.203934446600002</v>
      </c>
      <c r="Q10" s="6">
        <v>62.023238945000003</v>
      </c>
    </row>
    <row r="11" spans="1:17" x14ac:dyDescent="0.25">
      <c r="A11">
        <v>9</v>
      </c>
      <c r="B11" s="6">
        <v>61.6602332967</v>
      </c>
      <c r="C11" s="6">
        <v>72.570612862299996</v>
      </c>
      <c r="D11" s="6">
        <v>63.038614880899999</v>
      </c>
      <c r="E11" s="6">
        <v>72.203224149199997</v>
      </c>
      <c r="F11" s="6">
        <v>12.3211746507</v>
      </c>
      <c r="G11" s="6">
        <v>19.5273944616</v>
      </c>
      <c r="H11" s="6">
        <v>8.8104624989799998</v>
      </c>
      <c r="I11" s="6">
        <v>23.7367309955</v>
      </c>
      <c r="J11" s="6">
        <v>69.776944775800004</v>
      </c>
      <c r="K11" s="6">
        <v>70.105411341799993</v>
      </c>
      <c r="L11" s="6">
        <v>77.668665289200007</v>
      </c>
      <c r="M11" s="6">
        <v>74.310454764499994</v>
      </c>
      <c r="N11" s="6">
        <v>57.897529566199999</v>
      </c>
      <c r="O11" s="6">
        <v>62.8911757929</v>
      </c>
      <c r="P11" s="6">
        <v>61.777272351800001</v>
      </c>
      <c r="Q11" s="6">
        <v>65.553860639600003</v>
      </c>
    </row>
    <row r="12" spans="1:17" x14ac:dyDescent="0.25">
      <c r="A12">
        <v>10</v>
      </c>
      <c r="B12" s="6">
        <v>61.243471204099997</v>
      </c>
      <c r="C12" s="6">
        <v>71.478343142300005</v>
      </c>
      <c r="D12" s="6">
        <v>63.794223967500002</v>
      </c>
      <c r="E12" s="6">
        <v>66.442034523199993</v>
      </c>
      <c r="F12" s="6">
        <v>10.2255608352</v>
      </c>
      <c r="G12" s="6">
        <v>28.021593885200001</v>
      </c>
      <c r="H12" s="6">
        <v>8.1306843066199992</v>
      </c>
      <c r="I12" s="6">
        <v>27.546426453900001</v>
      </c>
      <c r="J12" s="6">
        <v>69.6133572034</v>
      </c>
      <c r="K12" s="6">
        <v>70.536936960700004</v>
      </c>
      <c r="L12" s="6">
        <v>77.6534174369</v>
      </c>
      <c r="M12" s="6">
        <v>74.422060109900002</v>
      </c>
      <c r="N12" s="6">
        <v>57.3411494972</v>
      </c>
      <c r="O12" s="6">
        <v>64.091115045899997</v>
      </c>
      <c r="P12" s="6">
        <v>61.916446497099997</v>
      </c>
      <c r="Q12" s="6">
        <v>64.271903175399999</v>
      </c>
    </row>
    <row r="13" spans="1:17" x14ac:dyDescent="0.25">
      <c r="A13">
        <v>11</v>
      </c>
      <c r="B13" s="6">
        <v>61.573751769600001</v>
      </c>
      <c r="C13" s="6">
        <v>61.633235638000002</v>
      </c>
      <c r="D13" s="6">
        <v>64.338989659399999</v>
      </c>
      <c r="E13" s="6">
        <v>61.6432900653</v>
      </c>
      <c r="F13" s="6">
        <v>9.3825826203799991</v>
      </c>
      <c r="G13" s="6">
        <v>23.150680544699998</v>
      </c>
      <c r="H13" s="6">
        <v>8.2661822839100001</v>
      </c>
      <c r="I13" s="6">
        <v>22.8137892793</v>
      </c>
      <c r="J13" s="6">
        <v>69.414599266099998</v>
      </c>
      <c r="K13" s="6">
        <v>70.288041893499994</v>
      </c>
      <c r="L13" s="6">
        <v>77.649274552799994</v>
      </c>
      <c r="M13" s="6">
        <v>74.247114707899996</v>
      </c>
      <c r="N13" s="6">
        <v>57.218439003699999</v>
      </c>
      <c r="O13" s="6">
        <v>59.868532542600001</v>
      </c>
      <c r="P13" s="6">
        <v>62.119756373100003</v>
      </c>
      <c r="Q13" s="6">
        <v>61.811525374200002</v>
      </c>
    </row>
    <row r="14" spans="1:17" x14ac:dyDescent="0.25">
      <c r="A14">
        <v>12</v>
      </c>
      <c r="B14" s="6">
        <v>61.947284865299999</v>
      </c>
      <c r="C14" s="6">
        <v>60.554128330499999</v>
      </c>
      <c r="D14" s="6">
        <v>64.549198674699994</v>
      </c>
      <c r="E14" s="6">
        <v>61.408297748400003</v>
      </c>
      <c r="F14" s="6">
        <v>9.0116934828899993</v>
      </c>
      <c r="G14" s="6">
        <v>19.617232798100002</v>
      </c>
      <c r="H14" s="6">
        <v>8.6777736909400005</v>
      </c>
      <c r="I14" s="6">
        <v>20.591318512299999</v>
      </c>
      <c r="J14" s="6">
        <v>69.257893729200006</v>
      </c>
      <c r="K14" s="6">
        <v>69.701656451100007</v>
      </c>
      <c r="L14" s="6">
        <v>77.653025710700007</v>
      </c>
      <c r="M14" s="6">
        <v>73.991622518400007</v>
      </c>
      <c r="N14" s="6">
        <v>57.206597907999999</v>
      </c>
      <c r="O14" s="6">
        <v>58.647039368900003</v>
      </c>
      <c r="P14" s="6">
        <v>62.2580609862</v>
      </c>
      <c r="Q14" s="6">
        <v>61.2500361998</v>
      </c>
    </row>
    <row r="15" spans="1:17" x14ac:dyDescent="0.25">
      <c r="A15">
        <v>13</v>
      </c>
      <c r="B15" s="6">
        <v>62.1446963486</v>
      </c>
      <c r="C15" s="6">
        <v>60.977635471100001</v>
      </c>
      <c r="D15" s="6">
        <v>64.886829312900005</v>
      </c>
      <c r="E15" s="6">
        <v>61.987126305399997</v>
      </c>
      <c r="F15" s="6">
        <v>8.8980440674099999</v>
      </c>
      <c r="G15" s="6">
        <v>17.309612056799999</v>
      </c>
      <c r="H15" s="6">
        <v>9.4853129748100002</v>
      </c>
      <c r="I15" s="6">
        <v>19.255516892799999</v>
      </c>
      <c r="J15" s="6">
        <v>69.164060130099998</v>
      </c>
      <c r="K15" s="6">
        <v>69.172672786099994</v>
      </c>
      <c r="L15" s="6">
        <v>77.658938912099998</v>
      </c>
      <c r="M15" s="6">
        <v>73.792867782599998</v>
      </c>
      <c r="N15" s="6">
        <v>57.207897314599997</v>
      </c>
      <c r="O15" s="6">
        <v>58.156536343900001</v>
      </c>
      <c r="P15" s="6">
        <v>62.503443585299998</v>
      </c>
      <c r="Q15" s="6">
        <v>61.132803513900001</v>
      </c>
    </row>
    <row r="16" spans="1:17" x14ac:dyDescent="0.25">
      <c r="A16">
        <v>14</v>
      </c>
      <c r="B16" s="6">
        <v>62.152043654499998</v>
      </c>
      <c r="C16" s="6">
        <v>61.885179510900002</v>
      </c>
      <c r="D16" s="6">
        <v>64.411224169999997</v>
      </c>
      <c r="E16" s="6">
        <v>62.6821987991</v>
      </c>
      <c r="F16" s="6">
        <v>8.9440724635100004</v>
      </c>
      <c r="G16" s="6">
        <v>14.904526621800001</v>
      </c>
      <c r="H16" s="6">
        <v>9.9741412902099995</v>
      </c>
      <c r="I16" s="6">
        <v>17.8412031489</v>
      </c>
      <c r="J16" s="6">
        <v>69.127622569600007</v>
      </c>
      <c r="K16" s="6">
        <v>68.895205973399996</v>
      </c>
      <c r="L16" s="6">
        <v>77.659318043799999</v>
      </c>
      <c r="M16" s="6">
        <v>73.707977741600004</v>
      </c>
      <c r="N16" s="6">
        <v>57.199354690600003</v>
      </c>
      <c r="O16" s="6">
        <v>57.940500428</v>
      </c>
      <c r="P16" s="6">
        <v>62.420898581800003</v>
      </c>
      <c r="Q16" s="6">
        <v>61.0996343451</v>
      </c>
    </row>
    <row r="17" spans="1:17" x14ac:dyDescent="0.25">
      <c r="A17">
        <v>15</v>
      </c>
      <c r="B17" s="6">
        <v>62.031386534399999</v>
      </c>
      <c r="C17" s="6">
        <v>63.072691788699998</v>
      </c>
      <c r="D17" s="6">
        <v>64.144713147100006</v>
      </c>
      <c r="E17" s="6">
        <v>63.4886273786</v>
      </c>
      <c r="F17" s="6">
        <v>9.0762331280699993</v>
      </c>
      <c r="G17" s="6">
        <v>12.9853777579</v>
      </c>
      <c r="H17" s="6">
        <v>9.4787085983899999</v>
      </c>
      <c r="I17" s="6">
        <v>16.784273407099999</v>
      </c>
      <c r="J17" s="6">
        <v>69.131332047900003</v>
      </c>
      <c r="K17" s="6">
        <v>68.973371235299993</v>
      </c>
      <c r="L17" s="6">
        <v>77.650762770100002</v>
      </c>
      <c r="M17" s="6">
        <v>73.764164717900002</v>
      </c>
      <c r="N17" s="6">
        <v>57.181529179199998</v>
      </c>
      <c r="O17" s="6">
        <v>58.075291967699997</v>
      </c>
      <c r="P17" s="6">
        <v>62.247837496099997</v>
      </c>
      <c r="Q17" s="6">
        <v>61.2319233825</v>
      </c>
    </row>
    <row r="18" spans="1:17" x14ac:dyDescent="0.25">
      <c r="A18">
        <v>16</v>
      </c>
      <c r="B18" s="6">
        <v>61.855801117600002</v>
      </c>
      <c r="C18" s="6">
        <v>66.348694335499999</v>
      </c>
      <c r="D18" s="6">
        <v>64.227328565999997</v>
      </c>
      <c r="E18" s="6">
        <v>66.693483956999998</v>
      </c>
      <c r="F18" s="6">
        <v>9.2340931919500004</v>
      </c>
      <c r="G18" s="6">
        <v>13.024654552699999</v>
      </c>
      <c r="H18" s="6">
        <v>9.2670124169299992</v>
      </c>
      <c r="I18" s="6">
        <v>17.754011009399999</v>
      </c>
      <c r="J18" s="6">
        <v>69.155276563499996</v>
      </c>
      <c r="K18" s="6">
        <v>69.4225458266</v>
      </c>
      <c r="L18" s="6">
        <v>77.639088176300007</v>
      </c>
      <c r="M18" s="6">
        <v>73.9583292258</v>
      </c>
      <c r="N18" s="6">
        <v>57.159442909500001</v>
      </c>
      <c r="O18" s="6">
        <v>59.413217379499997</v>
      </c>
      <c r="P18" s="6">
        <v>62.236162347099999</v>
      </c>
      <c r="Q18" s="6">
        <v>62.565476204600003</v>
      </c>
    </row>
    <row r="19" spans="1:17" x14ac:dyDescent="0.25">
      <c r="A19">
        <v>17</v>
      </c>
      <c r="B19" s="6">
        <v>61.680861383699998</v>
      </c>
      <c r="C19" s="6">
        <v>74.597852538799998</v>
      </c>
      <c r="D19" s="6">
        <v>64.363876400799995</v>
      </c>
      <c r="E19" s="6">
        <v>70.498105343899994</v>
      </c>
      <c r="F19" s="6">
        <v>9.3739411611999994</v>
      </c>
      <c r="G19" s="6">
        <v>22.229167585199999</v>
      </c>
      <c r="H19" s="6">
        <v>9.1708628469000004</v>
      </c>
      <c r="I19" s="6">
        <v>24.189403502899999</v>
      </c>
      <c r="J19" s="6">
        <v>69.182473880000003</v>
      </c>
      <c r="K19" s="6">
        <v>70.0760898905</v>
      </c>
      <c r="L19" s="6">
        <v>77.6279058585</v>
      </c>
      <c r="M19" s="6">
        <v>74.197498513799999</v>
      </c>
      <c r="N19" s="6">
        <v>57.136346719700001</v>
      </c>
      <c r="O19" s="6">
        <v>63.990348019700001</v>
      </c>
      <c r="P19" s="6">
        <v>62.261317032299999</v>
      </c>
      <c r="Q19" s="6">
        <v>64.993585793999998</v>
      </c>
    </row>
    <row r="20" spans="1:17" x14ac:dyDescent="0.25">
      <c r="A20">
        <v>18</v>
      </c>
      <c r="B20" s="6">
        <v>61.537368939099998</v>
      </c>
      <c r="C20" s="6">
        <v>66.875411037299997</v>
      </c>
      <c r="D20" s="6">
        <v>64.484428313099997</v>
      </c>
      <c r="E20" s="6">
        <v>64.102869607000002</v>
      </c>
      <c r="F20" s="6">
        <v>9.4710784205700005</v>
      </c>
      <c r="G20" s="6">
        <v>26.709450116399999</v>
      </c>
      <c r="H20" s="6">
        <v>9.12308500402</v>
      </c>
      <c r="I20" s="6">
        <v>25.0883096755</v>
      </c>
      <c r="J20" s="6">
        <v>69.201576706599994</v>
      </c>
      <c r="K20" s="6">
        <v>70.335550496400003</v>
      </c>
      <c r="L20" s="6">
        <v>77.618549633499995</v>
      </c>
      <c r="M20" s="6">
        <v>74.244926428799999</v>
      </c>
      <c r="N20" s="6">
        <v>57.112993166099997</v>
      </c>
      <c r="O20" s="6">
        <v>62.227651648399998</v>
      </c>
      <c r="P20" s="6">
        <v>62.289688151500002</v>
      </c>
      <c r="Q20" s="6">
        <v>63.002288789700003</v>
      </c>
    </row>
    <row r="21" spans="1:17" x14ac:dyDescent="0.25">
      <c r="A21">
        <v>19</v>
      </c>
      <c r="B21" s="6">
        <v>61.4347600997</v>
      </c>
      <c r="C21" s="6">
        <v>61.506454143100001</v>
      </c>
      <c r="D21" s="6">
        <v>64.572939559899993</v>
      </c>
      <c r="E21" s="6">
        <v>62.1948549245</v>
      </c>
      <c r="F21" s="6">
        <v>9.5183623928600003</v>
      </c>
      <c r="G21" s="6">
        <v>21.182631715999999</v>
      </c>
      <c r="H21" s="6">
        <v>9.1056541865499998</v>
      </c>
      <c r="I21" s="6">
        <v>21.727282327099999</v>
      </c>
      <c r="J21" s="6">
        <v>69.207358013800004</v>
      </c>
      <c r="K21" s="6">
        <v>69.9745331381</v>
      </c>
      <c r="L21" s="6">
        <v>77.6113805345</v>
      </c>
      <c r="M21" s="6">
        <v>74.084324469899997</v>
      </c>
      <c r="N21" s="6">
        <v>57.088798870399998</v>
      </c>
      <c r="O21" s="6">
        <v>59.354826931600002</v>
      </c>
      <c r="P21" s="6">
        <v>62.313175464099999</v>
      </c>
      <c r="Q21" s="6">
        <v>61.742857240100001</v>
      </c>
    </row>
    <row r="22" spans="1:17" x14ac:dyDescent="0.25">
      <c r="A22">
        <v>20</v>
      </c>
      <c r="B22" s="6">
        <v>61.368303291399997</v>
      </c>
      <c r="C22" s="6">
        <v>61.144641435600001</v>
      </c>
      <c r="D22" s="6">
        <v>64.634429384800001</v>
      </c>
      <c r="E22" s="6">
        <v>62.204399633900003</v>
      </c>
      <c r="F22" s="6">
        <v>9.5218674628599995</v>
      </c>
      <c r="G22" s="6">
        <v>18.496967815000001</v>
      </c>
      <c r="H22" s="6">
        <v>9.1101494109699992</v>
      </c>
      <c r="I22" s="6">
        <v>20.198333328299999</v>
      </c>
      <c r="J22" s="6">
        <v>69.199721895400003</v>
      </c>
      <c r="K22" s="6">
        <v>69.442905260499998</v>
      </c>
      <c r="L22" s="6">
        <v>77.606244439400001</v>
      </c>
      <c r="M22" s="6">
        <v>73.891248755600003</v>
      </c>
      <c r="N22" s="6">
        <v>57.063085139999998</v>
      </c>
      <c r="O22" s="6">
        <v>58.537833079199999</v>
      </c>
      <c r="P22" s="6">
        <v>62.3320555584</v>
      </c>
      <c r="Q22" s="6">
        <v>61.405642893100001</v>
      </c>
    </row>
    <row r="23" spans="1:17" x14ac:dyDescent="0.25">
      <c r="A23">
        <v>21</v>
      </c>
      <c r="B23" s="6">
        <v>61.326299558700001</v>
      </c>
      <c r="C23" s="6">
        <v>61.7150198637</v>
      </c>
      <c r="D23" s="6">
        <v>64.679609400299995</v>
      </c>
      <c r="E23" s="6">
        <v>62.6554615513</v>
      </c>
      <c r="F23" s="6">
        <v>9.4952262154400007</v>
      </c>
      <c r="G23" s="6">
        <v>16.071390540199999</v>
      </c>
      <c r="H23" s="6">
        <v>9.1283066211200001</v>
      </c>
      <c r="I23" s="6">
        <v>18.801935523499999</v>
      </c>
      <c r="J23" s="6">
        <v>69.181955772199998</v>
      </c>
      <c r="K23" s="6">
        <v>69.044123338299997</v>
      </c>
      <c r="L23" s="6">
        <v>77.602710142199996</v>
      </c>
      <c r="M23" s="6">
        <v>73.759283509100001</v>
      </c>
      <c r="N23" s="6">
        <v>57.035727750500001</v>
      </c>
      <c r="O23" s="6">
        <v>58.143679171899997</v>
      </c>
      <c r="P23" s="6">
        <v>62.3484114715</v>
      </c>
      <c r="Q23" s="6">
        <v>61.2692785343</v>
      </c>
    </row>
    <row r="24" spans="1:17" x14ac:dyDescent="0.25">
      <c r="A24">
        <v>22</v>
      </c>
      <c r="B24" s="6">
        <v>61.295652200500001</v>
      </c>
      <c r="C24" s="6">
        <v>62.733231936400003</v>
      </c>
      <c r="D24" s="6">
        <v>64.718271709999996</v>
      </c>
      <c r="E24" s="6">
        <v>63.316786045599997</v>
      </c>
      <c r="F24" s="6">
        <v>9.4541618067800002</v>
      </c>
      <c r="G24" s="6">
        <v>13.862517860500001</v>
      </c>
      <c r="H24" s="6">
        <v>9.15142121391</v>
      </c>
      <c r="I24" s="6">
        <v>17.546772363999999</v>
      </c>
      <c r="J24" s="6">
        <v>69.158834447900006</v>
      </c>
      <c r="K24" s="6">
        <v>68.937408770900007</v>
      </c>
      <c r="L24" s="6">
        <v>77.600246037299996</v>
      </c>
      <c r="M24" s="6">
        <v>73.735881843300007</v>
      </c>
      <c r="N24" s="6">
        <v>57.007212184399997</v>
      </c>
      <c r="O24" s="6">
        <v>58.082169469299998</v>
      </c>
      <c r="P24" s="6">
        <v>62.363895307500002</v>
      </c>
      <c r="Q24" s="6">
        <v>61.2809951821</v>
      </c>
    </row>
    <row r="25" spans="1:17" x14ac:dyDescent="0.25">
      <c r="A25">
        <v>23</v>
      </c>
      <c r="B25" s="6">
        <v>61.2653936492</v>
      </c>
      <c r="C25" s="6">
        <v>63.963720399400003</v>
      </c>
      <c r="D25" s="6">
        <v>64.757162552400004</v>
      </c>
      <c r="E25" s="6">
        <v>64.108601847499997</v>
      </c>
      <c r="F25" s="6">
        <v>9.4123231599199997</v>
      </c>
      <c r="G25" s="6">
        <v>12.445668015400001</v>
      </c>
      <c r="H25" s="6">
        <v>9.1718379281299995</v>
      </c>
      <c r="I25" s="6">
        <v>16.800064491600001</v>
      </c>
      <c r="J25" s="6">
        <v>69.1350257924</v>
      </c>
      <c r="K25" s="6">
        <v>69.190827890999998</v>
      </c>
      <c r="L25" s="6">
        <v>77.598356204200002</v>
      </c>
      <c r="M25" s="6">
        <v>73.840074016700001</v>
      </c>
      <c r="N25" s="6">
        <v>56.978358622000002</v>
      </c>
      <c r="O25" s="6">
        <v>58.399603298800002</v>
      </c>
      <c r="P25" s="6">
        <v>62.379316193000001</v>
      </c>
      <c r="Q25" s="6">
        <v>61.481872464299997</v>
      </c>
    </row>
    <row r="26" spans="1:17" x14ac:dyDescent="0.25">
      <c r="A26">
        <v>24</v>
      </c>
      <c r="B26" s="6">
        <v>61.228342310999999</v>
      </c>
      <c r="C26" s="6">
        <v>70.382838559800007</v>
      </c>
      <c r="D26" s="6">
        <v>64.799927687500002</v>
      </c>
      <c r="E26" s="6">
        <v>68.528152449499999</v>
      </c>
      <c r="F26" s="6">
        <v>9.3789484699999992</v>
      </c>
      <c r="G26" s="6">
        <v>16.582935473399999</v>
      </c>
      <c r="H26" s="6">
        <v>9.1843098335699995</v>
      </c>
      <c r="I26" s="6">
        <v>19.766786831899999</v>
      </c>
      <c r="J26" s="6">
        <v>69.114050028700007</v>
      </c>
      <c r="K26" s="6">
        <v>69.771641091000006</v>
      </c>
      <c r="L26" s="6">
        <v>77.596668480700004</v>
      </c>
      <c r="M26" s="6">
        <v>74.054702247799995</v>
      </c>
      <c r="N26" s="6">
        <v>56.949985422499999</v>
      </c>
      <c r="O26" s="6">
        <v>61.516422694799999</v>
      </c>
      <c r="P26" s="6">
        <v>62.394882380799999</v>
      </c>
      <c r="Q26" s="6">
        <v>63.553334485000001</v>
      </c>
    </row>
    <row r="27" spans="1:17" x14ac:dyDescent="0.25">
      <c r="A27">
        <v>25</v>
      </c>
      <c r="B27" s="6">
        <v>61.181310539099997</v>
      </c>
      <c r="C27" s="6">
        <v>73.836689086000007</v>
      </c>
      <c r="D27" s="6">
        <v>64.847812310999998</v>
      </c>
      <c r="E27" s="6">
        <v>69.149323438300001</v>
      </c>
      <c r="F27" s="6">
        <v>9.3583003311299997</v>
      </c>
      <c r="G27" s="6">
        <v>25.6831009126</v>
      </c>
      <c r="H27" s="6">
        <v>9.1865756029500005</v>
      </c>
      <c r="I27" s="6">
        <v>25.0412094255</v>
      </c>
      <c r="J27" s="6">
        <v>69.097846022699997</v>
      </c>
      <c r="K27" s="6">
        <v>70.308813605599994</v>
      </c>
      <c r="L27" s="6">
        <v>77.594970881400002</v>
      </c>
      <c r="M27" s="6">
        <v>74.234283226000002</v>
      </c>
      <c r="N27" s="6">
        <v>56.922671094999998</v>
      </c>
      <c r="O27" s="6">
        <v>64.400111561000003</v>
      </c>
      <c r="P27" s="6">
        <v>62.410547617399999</v>
      </c>
      <c r="Q27" s="6">
        <v>64.692445439799997</v>
      </c>
    </row>
    <row r="28" spans="1:17" x14ac:dyDescent="0.25">
      <c r="A28">
        <v>26</v>
      </c>
      <c r="B28" s="6">
        <v>61.124371275000001</v>
      </c>
      <c r="C28" s="6">
        <v>63.4678818318</v>
      </c>
      <c r="D28" s="6">
        <v>64.900489127599997</v>
      </c>
      <c r="E28" s="6">
        <v>63.7350561278</v>
      </c>
      <c r="F28" s="6">
        <v>9.3504109352900002</v>
      </c>
      <c r="G28" s="6">
        <v>23.444507785799999</v>
      </c>
      <c r="H28" s="6">
        <v>9.1791249967299997</v>
      </c>
      <c r="I28" s="6">
        <v>23.1641434754</v>
      </c>
      <c r="J28" s="6">
        <v>69.086842504000003</v>
      </c>
      <c r="K28" s="6">
        <v>70.241830157699994</v>
      </c>
      <c r="L28" s="6">
        <v>77.593202756400004</v>
      </c>
      <c r="M28" s="6">
        <v>74.192424110000005</v>
      </c>
      <c r="N28" s="6">
        <v>56.896661219800002</v>
      </c>
      <c r="O28" s="6">
        <v>60.511141677200001</v>
      </c>
      <c r="P28" s="6">
        <v>62.426248830500001</v>
      </c>
      <c r="Q28" s="6">
        <v>62.545627646699998</v>
      </c>
    </row>
    <row r="29" spans="1:17" x14ac:dyDescent="0.25">
      <c r="A29">
        <v>27</v>
      </c>
      <c r="B29" s="6">
        <v>61.0596789493</v>
      </c>
      <c r="C29" s="6">
        <v>61.829929287200002</v>
      </c>
      <c r="D29" s="6">
        <v>64.956777668000001</v>
      </c>
      <c r="E29" s="6">
        <v>62.8355569434</v>
      </c>
      <c r="F29" s="6">
        <v>9.3525192150999992</v>
      </c>
      <c r="G29" s="6">
        <v>19.577269600600001</v>
      </c>
      <c r="H29" s="6">
        <v>9.1643904879699996</v>
      </c>
      <c r="I29" s="6">
        <v>20.974557495199999</v>
      </c>
      <c r="J29" s="6">
        <v>69.080348192900004</v>
      </c>
      <c r="K29" s="6">
        <v>69.747396736499994</v>
      </c>
      <c r="L29" s="6">
        <v>77.591414880599999</v>
      </c>
      <c r="M29" s="6">
        <v>74.013284679199998</v>
      </c>
      <c r="N29" s="6">
        <v>56.871895578100002</v>
      </c>
      <c r="O29" s="6">
        <v>59.094249559799998</v>
      </c>
      <c r="P29" s="6">
        <v>62.442000181899999</v>
      </c>
      <c r="Q29" s="6">
        <v>61.8035610457</v>
      </c>
    </row>
    <row r="30" spans="1:17" x14ac:dyDescent="0.25">
      <c r="A30">
        <v>28</v>
      </c>
      <c r="B30" s="6">
        <v>60.990253365400001</v>
      </c>
      <c r="C30" s="6">
        <v>61.928196739800001</v>
      </c>
      <c r="D30" s="6">
        <v>65.0151974913</v>
      </c>
      <c r="E30" s="6">
        <v>62.954765064900002</v>
      </c>
      <c r="F30" s="6">
        <v>9.3606353475800006</v>
      </c>
      <c r="G30" s="6">
        <v>17.2382426287</v>
      </c>
      <c r="H30" s="6">
        <v>9.1456949142199999</v>
      </c>
      <c r="I30" s="6">
        <v>19.657196779900001</v>
      </c>
      <c r="J30" s="6">
        <v>69.077063355899995</v>
      </c>
      <c r="K30" s="6">
        <v>69.249074203099994</v>
      </c>
      <c r="L30" s="6">
        <v>77.589715838499998</v>
      </c>
      <c r="M30" s="6">
        <v>73.838386285499993</v>
      </c>
      <c r="N30" s="6">
        <v>56.848104183899999</v>
      </c>
      <c r="O30" s="6">
        <v>58.504429220200002</v>
      </c>
      <c r="P30" s="6">
        <v>62.457885350300003</v>
      </c>
      <c r="Q30" s="6">
        <v>61.5461660952</v>
      </c>
    </row>
    <row r="31" spans="1:17" x14ac:dyDescent="0.25">
      <c r="A31">
        <v>29</v>
      </c>
      <c r="B31" s="6">
        <v>60.9190008717</v>
      </c>
      <c r="C31" s="6">
        <v>62.636829629899999</v>
      </c>
      <c r="D31" s="6">
        <v>65.074357937200006</v>
      </c>
      <c r="E31" s="6">
        <v>63.374524252999997</v>
      </c>
      <c r="F31" s="6">
        <v>9.3708391320299995</v>
      </c>
      <c r="G31" s="6">
        <v>14.8763874589</v>
      </c>
      <c r="H31" s="6">
        <v>9.1262640212099999</v>
      </c>
      <c r="I31" s="6">
        <v>18.3027740092</v>
      </c>
      <c r="J31" s="6">
        <v>69.075555382700003</v>
      </c>
      <c r="K31" s="6">
        <v>68.964672213900002</v>
      </c>
      <c r="L31" s="6">
        <v>77.588220684199996</v>
      </c>
      <c r="M31" s="6">
        <v>73.737298280999994</v>
      </c>
      <c r="N31" s="6">
        <v>56.824922942999997</v>
      </c>
      <c r="O31" s="6">
        <v>58.224653239200002</v>
      </c>
      <c r="P31" s="6">
        <v>62.474006123499997</v>
      </c>
      <c r="Q31" s="6">
        <v>61.421460818699998</v>
      </c>
    </row>
    <row r="32" spans="1:17" x14ac:dyDescent="0.25">
      <c r="A32">
        <v>30</v>
      </c>
      <c r="B32" s="6">
        <v>60.848101759400002</v>
      </c>
      <c r="C32" s="6">
        <v>63.686770343900001</v>
      </c>
      <c r="D32" s="6">
        <v>65.133197551799995</v>
      </c>
      <c r="E32" s="6">
        <v>63.994879739399998</v>
      </c>
      <c r="F32" s="6">
        <v>9.3801180209700004</v>
      </c>
      <c r="G32" s="6">
        <v>12.9664181667</v>
      </c>
      <c r="H32" s="6">
        <v>9.1085199689900005</v>
      </c>
      <c r="I32" s="6">
        <v>17.1814998961</v>
      </c>
      <c r="J32" s="6">
        <v>69.074604048200001</v>
      </c>
      <c r="K32" s="6">
        <v>69.013042706500002</v>
      </c>
      <c r="L32" s="6">
        <v>77.587013178999996</v>
      </c>
      <c r="M32" s="6">
        <v>73.749088395000001</v>
      </c>
      <c r="N32" s="6">
        <v>56.801994059800002</v>
      </c>
      <c r="O32" s="6">
        <v>58.299479176200002</v>
      </c>
      <c r="P32" s="6">
        <v>62.490431793200003</v>
      </c>
      <c r="Q32" s="6">
        <v>61.458368715500001</v>
      </c>
    </row>
    <row r="33" spans="1:17" x14ac:dyDescent="0.25">
      <c r="A33">
        <v>31</v>
      </c>
      <c r="B33" s="6">
        <v>60.778769627099997</v>
      </c>
      <c r="C33" s="6">
        <v>66.3107360172</v>
      </c>
      <c r="D33" s="6">
        <v>65.191087805500004</v>
      </c>
      <c r="E33" s="6">
        <v>65.333851189699999</v>
      </c>
      <c r="F33" s="6">
        <v>9.3867199158099996</v>
      </c>
      <c r="G33" s="6">
        <v>12.5180027021</v>
      </c>
      <c r="H33" s="6">
        <v>9.0937489414100003</v>
      </c>
      <c r="I33" s="6">
        <v>16.7065094282</v>
      </c>
      <c r="J33" s="6">
        <v>69.073384312599998</v>
      </c>
      <c r="K33" s="6">
        <v>69.421920725299998</v>
      </c>
      <c r="L33" s="6">
        <v>77.586126758999995</v>
      </c>
      <c r="M33" s="6">
        <v>73.884589219099993</v>
      </c>
      <c r="N33" s="6">
        <v>56.779032985900002</v>
      </c>
      <c r="O33" s="6">
        <v>59.319492771599997</v>
      </c>
      <c r="P33" s="6">
        <v>62.507171696900002</v>
      </c>
      <c r="Q33" s="6">
        <v>61.902880810299997</v>
      </c>
    </row>
    <row r="34" spans="1:17" x14ac:dyDescent="0.25">
      <c r="A34">
        <v>32</v>
      </c>
      <c r="B34" s="6">
        <v>60.7113065765</v>
      </c>
      <c r="C34" s="6">
        <v>74.454563437000004</v>
      </c>
      <c r="D34" s="6">
        <v>65.247822691799996</v>
      </c>
      <c r="E34" s="6">
        <v>69.801492324199998</v>
      </c>
      <c r="F34" s="6">
        <v>9.3901096293999995</v>
      </c>
      <c r="G34" s="6">
        <v>20.760518296800001</v>
      </c>
      <c r="H34" s="6">
        <v>9.0821217882400003</v>
      </c>
      <c r="I34" s="6">
        <v>21.107357055800001</v>
      </c>
      <c r="J34" s="6">
        <v>69.071501674199993</v>
      </c>
      <c r="K34" s="6">
        <v>70.059957224800002</v>
      </c>
      <c r="L34" s="6">
        <v>77.585543588199997</v>
      </c>
      <c r="M34" s="6">
        <v>74.107219876599999</v>
      </c>
      <c r="N34" s="6">
        <v>56.755857918799997</v>
      </c>
      <c r="O34" s="6">
        <v>63.700232060499999</v>
      </c>
      <c r="P34" s="6">
        <v>62.524174514199998</v>
      </c>
      <c r="Q34" s="6">
        <v>64.222747100099994</v>
      </c>
    </row>
    <row r="35" spans="1:17" x14ac:dyDescent="0.25">
      <c r="A35">
        <v>33</v>
      </c>
      <c r="B35" s="6">
        <v>60.645340913699997</v>
      </c>
      <c r="C35" s="6">
        <v>69.159484376500004</v>
      </c>
      <c r="D35" s="6">
        <v>65.303526499599997</v>
      </c>
      <c r="E35" s="6">
        <v>67.906665731299995</v>
      </c>
      <c r="F35" s="6">
        <v>9.3906730499699993</v>
      </c>
      <c r="G35" s="6">
        <v>26.163661741799999</v>
      </c>
      <c r="H35" s="6">
        <v>9.0729680447300005</v>
      </c>
      <c r="I35" s="6">
        <v>24.857708514799999</v>
      </c>
      <c r="J35" s="6">
        <v>69.0689223121</v>
      </c>
      <c r="K35" s="6">
        <v>70.366948614999998</v>
      </c>
      <c r="L35" s="6">
        <v>77.585206933699993</v>
      </c>
      <c r="M35" s="6">
        <v>74.234687217300007</v>
      </c>
      <c r="N35" s="6">
        <v>56.732387785999997</v>
      </c>
      <c r="O35" s="6">
        <v>62.927430444800002</v>
      </c>
      <c r="P35" s="6">
        <v>62.541346965999999</v>
      </c>
      <c r="Q35" s="6">
        <v>64.244101712800003</v>
      </c>
    </row>
    <row r="36" spans="1:17" x14ac:dyDescent="0.25">
      <c r="A36">
        <v>34</v>
      </c>
      <c r="B36" s="6">
        <v>60.580133720200003</v>
      </c>
      <c r="C36" s="6">
        <v>63.004647619300002</v>
      </c>
      <c r="D36" s="6">
        <v>65.358519491400003</v>
      </c>
      <c r="E36" s="6">
        <v>63.953380554100001</v>
      </c>
      <c r="F36" s="6">
        <v>9.3893189331899993</v>
      </c>
      <c r="G36" s="6">
        <v>21.035620517600002</v>
      </c>
      <c r="H36" s="6">
        <v>9.0651707542600004</v>
      </c>
      <c r="I36" s="6">
        <v>22.100247812799999</v>
      </c>
      <c r="J36" s="6">
        <v>69.065848862300001</v>
      </c>
      <c r="K36" s="6">
        <v>70.047135931900002</v>
      </c>
      <c r="L36" s="6">
        <v>77.585040232599994</v>
      </c>
      <c r="M36" s="6">
        <v>74.141591375700003</v>
      </c>
      <c r="N36" s="6">
        <v>56.708619812999999</v>
      </c>
      <c r="O36" s="6">
        <v>59.873581379500003</v>
      </c>
      <c r="P36" s="6">
        <v>62.558580894400002</v>
      </c>
      <c r="Q36" s="6">
        <v>62.424464175300002</v>
      </c>
    </row>
    <row r="37" spans="1:17" x14ac:dyDescent="0.25">
      <c r="A37">
        <v>35</v>
      </c>
      <c r="B37" s="6">
        <v>60.514864378799999</v>
      </c>
      <c r="C37" s="6">
        <v>62.380449929800001</v>
      </c>
      <c r="D37" s="6">
        <v>65.413180579799999</v>
      </c>
      <c r="E37" s="6">
        <v>63.448163716700002</v>
      </c>
      <c r="F37" s="6">
        <v>9.3871002093999998</v>
      </c>
      <c r="G37" s="6">
        <v>18.321933393399998</v>
      </c>
      <c r="H37" s="6">
        <v>9.0575573762000001</v>
      </c>
      <c r="I37" s="6">
        <v>20.3906111366</v>
      </c>
      <c r="J37" s="6">
        <v>69.0625873523</v>
      </c>
      <c r="K37" s="6">
        <v>69.516650092000006</v>
      </c>
      <c r="L37" s="6">
        <v>77.584966445899994</v>
      </c>
      <c r="M37" s="6">
        <v>73.958579293300005</v>
      </c>
      <c r="N37" s="6">
        <v>56.684598643199998</v>
      </c>
      <c r="O37" s="6">
        <v>58.964158359700001</v>
      </c>
      <c r="P37" s="6">
        <v>62.575778851800003</v>
      </c>
      <c r="Q37" s="6">
        <v>61.889857174699998</v>
      </c>
    </row>
    <row r="38" spans="1:17" x14ac:dyDescent="0.25">
      <c r="A38">
        <v>36</v>
      </c>
      <c r="B38" s="6">
        <v>60.448839773800003</v>
      </c>
      <c r="C38" s="6">
        <v>62.719620093800003</v>
      </c>
      <c r="D38" s="6">
        <v>65.467837235399998</v>
      </c>
      <c r="E38" s="6">
        <v>63.600651728099997</v>
      </c>
      <c r="F38" s="6">
        <v>9.3849316053600003</v>
      </c>
      <c r="G38" s="6">
        <v>15.9579361448</v>
      </c>
      <c r="H38" s="6">
        <v>9.0491970117200005</v>
      </c>
      <c r="I38" s="6">
        <v>19.080958341700001</v>
      </c>
      <c r="J38" s="6">
        <v>69.059437420600005</v>
      </c>
      <c r="K38" s="6">
        <v>69.095163203699997</v>
      </c>
      <c r="L38" s="6">
        <v>77.584922973499999</v>
      </c>
      <c r="M38" s="6">
        <v>73.801443409900003</v>
      </c>
      <c r="N38" s="6">
        <v>56.660386744599997</v>
      </c>
      <c r="O38" s="6">
        <v>58.490345060899998</v>
      </c>
      <c r="P38" s="6">
        <v>62.592871741499998</v>
      </c>
      <c r="Q38" s="6">
        <v>61.6538618011</v>
      </c>
    </row>
    <row r="39" spans="1:17" x14ac:dyDescent="0.25">
      <c r="A39">
        <v>37</v>
      </c>
      <c r="B39" s="6">
        <v>60.381606699099997</v>
      </c>
      <c r="C39" s="6">
        <v>63.535892587500001</v>
      </c>
      <c r="D39" s="6">
        <v>65.522699188199994</v>
      </c>
      <c r="E39" s="6">
        <v>64.024065133999997</v>
      </c>
      <c r="F39" s="6">
        <v>9.3834334005900004</v>
      </c>
      <c r="G39" s="6">
        <v>13.7536366456</v>
      </c>
      <c r="H39" s="6">
        <v>9.0395602685200007</v>
      </c>
      <c r="I39" s="6">
        <v>17.776853452400001</v>
      </c>
      <c r="J39" s="6">
        <v>69.056622025999999</v>
      </c>
      <c r="K39" s="6">
        <v>68.951449506100005</v>
      </c>
      <c r="L39" s="6">
        <v>77.584869733800005</v>
      </c>
      <c r="M39" s="6">
        <v>73.729278217300006</v>
      </c>
      <c r="N39" s="6">
        <v>56.636042100899999</v>
      </c>
      <c r="O39" s="6">
        <v>58.342787886099998</v>
      </c>
      <c r="P39" s="6">
        <v>62.609825943099999</v>
      </c>
      <c r="Q39" s="6">
        <v>61.552955653799998</v>
      </c>
    </row>
    <row r="40" spans="1:17" x14ac:dyDescent="0.25">
      <c r="A40">
        <v>38</v>
      </c>
      <c r="B40" s="6">
        <v>60.312974754899997</v>
      </c>
      <c r="C40" s="6">
        <v>64.614939680700004</v>
      </c>
      <c r="D40" s="6">
        <v>65.577838408100007</v>
      </c>
      <c r="E40" s="6">
        <v>64.639289382599998</v>
      </c>
      <c r="F40" s="6">
        <v>9.3828931926300001</v>
      </c>
      <c r="G40" s="6">
        <v>12.2573023898</v>
      </c>
      <c r="H40" s="6">
        <v>9.0285416312500004</v>
      </c>
      <c r="I40" s="6">
        <v>16.7943860669</v>
      </c>
      <c r="J40" s="6">
        <v>69.054258694200001</v>
      </c>
      <c r="K40" s="6">
        <v>69.163953811699997</v>
      </c>
      <c r="L40" s="6">
        <v>77.584790262200002</v>
      </c>
      <c r="M40" s="6">
        <v>73.774207309900007</v>
      </c>
      <c r="N40" s="6">
        <v>56.611605378699998</v>
      </c>
      <c r="O40" s="6">
        <v>58.575872109400002</v>
      </c>
      <c r="P40" s="6">
        <v>62.6266406692</v>
      </c>
      <c r="Q40" s="6">
        <v>61.626897680600003</v>
      </c>
    </row>
    <row r="41" spans="1:17" x14ac:dyDescent="0.25">
      <c r="A41">
        <v>39</v>
      </c>
      <c r="B41" s="6">
        <v>60.242974147699996</v>
      </c>
      <c r="C41" s="6">
        <v>70.121337631100005</v>
      </c>
      <c r="D41" s="6">
        <v>65.633206881299998</v>
      </c>
      <c r="E41" s="6">
        <v>66.9731917525</v>
      </c>
      <c r="F41" s="6">
        <v>9.3833141304699996</v>
      </c>
      <c r="G41" s="6">
        <v>15.266007352100001</v>
      </c>
      <c r="H41" s="6">
        <v>9.0163760597200007</v>
      </c>
      <c r="I41" s="6">
        <v>17.136644903400001</v>
      </c>
      <c r="J41" s="6">
        <v>69.052364482100003</v>
      </c>
      <c r="K41" s="6">
        <v>69.715044916500005</v>
      </c>
      <c r="L41" s="6">
        <v>77.584687362099999</v>
      </c>
      <c r="M41" s="6">
        <v>73.939251556599999</v>
      </c>
      <c r="N41" s="6">
        <v>56.587095860200002</v>
      </c>
      <c r="O41" s="6">
        <v>61.1901793177</v>
      </c>
      <c r="P41" s="6">
        <v>62.643338506500001</v>
      </c>
      <c r="Q41" s="6">
        <v>62.552050374300002</v>
      </c>
    </row>
    <row r="42" spans="1:17" x14ac:dyDescent="0.25">
      <c r="A42">
        <v>40</v>
      </c>
      <c r="B42" s="6">
        <v>60.171779059099997</v>
      </c>
      <c r="C42" s="6">
        <v>75.348693018899993</v>
      </c>
      <c r="D42" s="6">
        <v>65.688677556800002</v>
      </c>
      <c r="E42" s="6">
        <v>70.676665749400001</v>
      </c>
      <c r="F42" s="6">
        <v>9.3845096030599997</v>
      </c>
      <c r="G42" s="6">
        <v>24.365501417899999</v>
      </c>
      <c r="H42" s="6">
        <v>9.0034976211900002</v>
      </c>
      <c r="I42" s="6">
        <v>22.281592816900002</v>
      </c>
      <c r="J42" s="6">
        <v>69.050882038599994</v>
      </c>
      <c r="K42" s="6">
        <v>70.285329558499996</v>
      </c>
      <c r="L42" s="6">
        <v>77.584575714799996</v>
      </c>
      <c r="M42" s="6">
        <v>74.158203256899995</v>
      </c>
      <c r="N42" s="6">
        <v>56.562513765299997</v>
      </c>
      <c r="O42" s="6">
        <v>64.688929709199996</v>
      </c>
      <c r="P42" s="6">
        <v>62.659953024099998</v>
      </c>
      <c r="Q42" s="6">
        <v>64.730558391599999</v>
      </c>
    </row>
    <row r="43" spans="1:17" x14ac:dyDescent="0.25">
      <c r="A43">
        <v>41</v>
      </c>
      <c r="B43" s="6">
        <v>60.0996247418</v>
      </c>
      <c r="C43" s="6">
        <v>65.081314733100001</v>
      </c>
      <c r="D43" s="6">
        <v>65.744092627100002</v>
      </c>
      <c r="E43" s="6">
        <v>66.587562554300007</v>
      </c>
      <c r="F43" s="6">
        <v>9.3862076868400006</v>
      </c>
      <c r="G43" s="6">
        <v>23.495242810800001</v>
      </c>
      <c r="H43" s="6">
        <v>8.9903887411000003</v>
      </c>
      <c r="I43" s="6">
        <v>24.095021748000001</v>
      </c>
      <c r="J43" s="6">
        <v>69.049713756800003</v>
      </c>
      <c r="K43" s="6">
        <v>70.287475401600005</v>
      </c>
      <c r="L43" s="6">
        <v>77.5844739347</v>
      </c>
      <c r="M43" s="6">
        <v>74.227258758100007</v>
      </c>
      <c r="N43" s="6">
        <v>56.537846085300004</v>
      </c>
      <c r="O43" s="6">
        <v>61.086672051100003</v>
      </c>
      <c r="P43" s="6">
        <v>62.676517084799997</v>
      </c>
      <c r="Q43" s="6">
        <v>63.673877719099998</v>
      </c>
    </row>
    <row r="44" spans="1:17" x14ac:dyDescent="0.25">
      <c r="A44">
        <v>42</v>
      </c>
      <c r="B44" s="6">
        <v>60.026738614999999</v>
      </c>
      <c r="C44" s="6">
        <v>63.123705211500003</v>
      </c>
      <c r="D44" s="6">
        <v>65.799305974000006</v>
      </c>
      <c r="E44" s="6">
        <v>64.294649555700005</v>
      </c>
      <c r="F44" s="6">
        <v>9.3881389906300008</v>
      </c>
      <c r="G44" s="6">
        <v>19.360623400200001</v>
      </c>
      <c r="H44" s="6">
        <v>8.9774579188099999</v>
      </c>
      <c r="I44" s="6">
        <v>21.267413152900001</v>
      </c>
      <c r="J44" s="6">
        <v>69.048753659599996</v>
      </c>
      <c r="K44" s="6">
        <v>69.814464281499994</v>
      </c>
      <c r="L44" s="6">
        <v>77.584398035500001</v>
      </c>
      <c r="M44" s="6">
        <v>74.095140988300003</v>
      </c>
      <c r="N44" s="6">
        <v>56.513073356200003</v>
      </c>
      <c r="O44" s="6">
        <v>59.530155442000002</v>
      </c>
      <c r="P44" s="6">
        <v>62.693054426499998</v>
      </c>
      <c r="Q44" s="6">
        <v>62.383754769799999</v>
      </c>
    </row>
    <row r="45" spans="1:17" x14ac:dyDescent="0.25">
      <c r="A45">
        <v>43</v>
      </c>
      <c r="B45" s="6">
        <v>59.953295862799997</v>
      </c>
      <c r="C45" s="6">
        <v>63.010800081600003</v>
      </c>
      <c r="D45" s="6">
        <v>65.854211543800005</v>
      </c>
      <c r="E45" s="6">
        <v>64.024874570999998</v>
      </c>
      <c r="F45" s="6">
        <v>9.3900941739300006</v>
      </c>
      <c r="G45" s="6">
        <v>17.048435271500001</v>
      </c>
      <c r="H45" s="6">
        <v>8.9649669970500003</v>
      </c>
      <c r="I45" s="6">
        <v>19.824918825800001</v>
      </c>
      <c r="J45" s="6">
        <v>69.0479106879</v>
      </c>
      <c r="K45" s="6">
        <v>69.3059310358</v>
      </c>
      <c r="L45" s="6">
        <v>77.584357429799994</v>
      </c>
      <c r="M45" s="6">
        <v>73.912263352400004</v>
      </c>
      <c r="N45" s="6">
        <v>56.488175550500003</v>
      </c>
      <c r="O45" s="6">
        <v>58.868200535699998</v>
      </c>
      <c r="P45" s="6">
        <v>62.709575653599998</v>
      </c>
      <c r="Q45" s="6">
        <v>61.971167234100001</v>
      </c>
    </row>
    <row r="46" spans="1:17" x14ac:dyDescent="0.25">
      <c r="A46">
        <v>44</v>
      </c>
      <c r="B46" s="6">
        <v>59.8794011747</v>
      </c>
      <c r="C46" s="6">
        <v>63.527666422400003</v>
      </c>
      <c r="D46" s="6">
        <v>65.908754915399996</v>
      </c>
      <c r="E46" s="6">
        <v>64.209226401400002</v>
      </c>
      <c r="F46" s="6">
        <v>9.3919487664899997</v>
      </c>
      <c r="G46" s="6">
        <v>14.7220492762</v>
      </c>
      <c r="H46" s="6">
        <v>8.9530118132799998</v>
      </c>
      <c r="I46" s="6">
        <v>18.507690524699999</v>
      </c>
      <c r="J46" s="6">
        <v>69.047121127200001</v>
      </c>
      <c r="K46" s="6">
        <v>68.994501827199997</v>
      </c>
      <c r="L46" s="6">
        <v>77.584353696500003</v>
      </c>
      <c r="M46" s="6">
        <v>73.773400974300003</v>
      </c>
      <c r="N46" s="6">
        <v>56.4631361191</v>
      </c>
      <c r="O46" s="6">
        <v>58.5157455529</v>
      </c>
      <c r="P46" s="6">
        <v>62.726078441799999</v>
      </c>
      <c r="Q46" s="6">
        <v>61.753919471499998</v>
      </c>
    </row>
    <row r="47" spans="1:17" x14ac:dyDescent="0.25">
      <c r="A47">
        <v>45</v>
      </c>
      <c r="B47" s="6">
        <v>59.805091967700001</v>
      </c>
      <c r="C47" s="6">
        <v>64.418829707499995</v>
      </c>
      <c r="D47" s="6">
        <v>65.962929974999994</v>
      </c>
      <c r="E47" s="6">
        <v>64.641764909299994</v>
      </c>
      <c r="F47" s="6">
        <v>9.3936609227200005</v>
      </c>
      <c r="G47" s="6">
        <v>12.788462855500001</v>
      </c>
      <c r="H47" s="6">
        <v>8.9415465116899995</v>
      </c>
      <c r="I47" s="6">
        <v>17.271267012300001</v>
      </c>
      <c r="J47" s="6">
        <v>69.046351078800001</v>
      </c>
      <c r="K47" s="6">
        <v>69.008304011899995</v>
      </c>
      <c r="L47" s="6">
        <v>77.584381645099995</v>
      </c>
      <c r="M47" s="6">
        <v>73.730066512500002</v>
      </c>
      <c r="N47" s="6">
        <v>56.437943965700001</v>
      </c>
      <c r="O47" s="6">
        <v>58.515828953700002</v>
      </c>
      <c r="P47" s="6">
        <v>62.742550819800002</v>
      </c>
      <c r="Q47" s="6">
        <v>61.681374590200001</v>
      </c>
    </row>
    <row r="48" spans="1:17" x14ac:dyDescent="0.25">
      <c r="A48">
        <v>46</v>
      </c>
      <c r="B48" s="6">
        <v>59.730355250899997</v>
      </c>
      <c r="C48" s="6">
        <v>66.4166009785</v>
      </c>
      <c r="D48" s="6">
        <v>66.016765561300005</v>
      </c>
      <c r="E48" s="6">
        <v>65.258263865499998</v>
      </c>
      <c r="F48" s="6">
        <v>9.3952517887999996</v>
      </c>
      <c r="G48" s="6">
        <v>11.9588570885</v>
      </c>
      <c r="H48" s="6">
        <v>8.9304341657199995</v>
      </c>
      <c r="I48" s="6">
        <v>16.440104801</v>
      </c>
      <c r="J48" s="6">
        <v>69.045591775199995</v>
      </c>
      <c r="K48" s="6">
        <v>69.384158613400004</v>
      </c>
      <c r="L48" s="6">
        <v>77.584431795699999</v>
      </c>
      <c r="M48" s="6">
        <v>73.807174921699996</v>
      </c>
      <c r="N48" s="6">
        <v>56.412593656200002</v>
      </c>
      <c r="O48" s="6">
        <v>59.247256129299998</v>
      </c>
      <c r="P48" s="6">
        <v>62.758975964199998</v>
      </c>
      <c r="Q48" s="6">
        <v>61.796017699700002</v>
      </c>
    </row>
    <row r="49" spans="1:17" x14ac:dyDescent="0.25">
      <c r="A49">
        <v>47</v>
      </c>
      <c r="B49" s="6">
        <v>59.655149887699999</v>
      </c>
      <c r="C49" s="6">
        <v>74.538765697800002</v>
      </c>
      <c r="D49" s="6">
        <v>66.070307943100005</v>
      </c>
      <c r="E49" s="6">
        <v>68.605869839099995</v>
      </c>
      <c r="F49" s="6">
        <v>9.3967787041200008</v>
      </c>
      <c r="G49" s="6">
        <v>19.392492168699999</v>
      </c>
      <c r="H49" s="6">
        <v>8.9195048578700007</v>
      </c>
      <c r="I49" s="6">
        <v>18.013474513199998</v>
      </c>
      <c r="J49" s="6">
        <v>69.044851172099996</v>
      </c>
      <c r="K49" s="6">
        <v>70.018045753300001</v>
      </c>
      <c r="L49" s="6">
        <v>77.5844932981</v>
      </c>
      <c r="M49" s="6">
        <v>73.998615981599997</v>
      </c>
      <c r="N49" s="6">
        <v>56.387084435600002</v>
      </c>
      <c r="O49" s="6">
        <v>63.489915972200002</v>
      </c>
      <c r="P49" s="6">
        <v>62.7753369956</v>
      </c>
      <c r="Q49" s="6">
        <v>63.272400772399997</v>
      </c>
    </row>
    <row r="50" spans="1:17" x14ac:dyDescent="0.25">
      <c r="A50">
        <v>48</v>
      </c>
      <c r="B50" s="6">
        <v>59.579427558500001</v>
      </c>
      <c r="C50" s="6">
        <v>71.437202900900004</v>
      </c>
      <c r="D50" s="6">
        <v>66.123604339799996</v>
      </c>
      <c r="E50" s="6">
        <v>70.965629663599998</v>
      </c>
      <c r="F50" s="6">
        <v>9.3983095704400004</v>
      </c>
      <c r="G50" s="6">
        <v>25.682730232299999</v>
      </c>
      <c r="H50" s="6">
        <v>8.9086056782200007</v>
      </c>
      <c r="I50" s="6">
        <v>23.208814094299999</v>
      </c>
      <c r="J50" s="6">
        <v>69.044144906200003</v>
      </c>
      <c r="K50" s="6">
        <v>70.379590924799999</v>
      </c>
      <c r="L50" s="6">
        <v>77.584556477199996</v>
      </c>
      <c r="M50" s="6">
        <v>74.198814194600004</v>
      </c>
      <c r="N50" s="6">
        <v>56.361418671999999</v>
      </c>
      <c r="O50" s="6">
        <v>63.625939795699999</v>
      </c>
      <c r="P50" s="6">
        <v>62.791620652299997</v>
      </c>
      <c r="Q50" s="6">
        <v>64.996025678300001</v>
      </c>
    </row>
    <row r="51" spans="1:17" x14ac:dyDescent="0.25">
      <c r="A51">
        <v>49</v>
      </c>
      <c r="B51" s="6">
        <v>59.503148231700003</v>
      </c>
      <c r="C51" s="6">
        <v>64.393268652100005</v>
      </c>
      <c r="D51" s="6">
        <v>66.176690999599998</v>
      </c>
      <c r="E51" s="6">
        <v>65.948717219200006</v>
      </c>
      <c r="F51" s="6">
        <v>9.3999036386399997</v>
      </c>
      <c r="G51" s="6">
        <v>20.897391279000001</v>
      </c>
      <c r="H51" s="6">
        <v>8.8976331562799995</v>
      </c>
      <c r="I51" s="6">
        <v>22.924794202600001</v>
      </c>
      <c r="J51" s="6">
        <v>69.043488805099997</v>
      </c>
      <c r="K51" s="6">
        <v>70.102842727099997</v>
      </c>
      <c r="L51" s="6">
        <v>77.584614492100002</v>
      </c>
      <c r="M51" s="6">
        <v>74.206667941199996</v>
      </c>
      <c r="N51" s="6">
        <v>56.335600250399999</v>
      </c>
      <c r="O51" s="6">
        <v>60.348249610700002</v>
      </c>
      <c r="P51" s="6">
        <v>62.807819262400002</v>
      </c>
      <c r="Q51" s="6">
        <v>63.261757951699998</v>
      </c>
    </row>
    <row r="52" spans="1:17" x14ac:dyDescent="0.25">
      <c r="A52">
        <v>50</v>
      </c>
      <c r="B52" s="6">
        <v>59.426288549200002</v>
      </c>
      <c r="C52" s="6">
        <v>63.537966181500003</v>
      </c>
      <c r="D52" s="6">
        <v>66.229587308299998</v>
      </c>
      <c r="E52" s="6">
        <v>64.698025781599995</v>
      </c>
      <c r="F52" s="6">
        <v>9.4016007683900007</v>
      </c>
      <c r="G52" s="6">
        <v>18.0922043785</v>
      </c>
      <c r="H52" s="6">
        <v>8.8865452798500009</v>
      </c>
      <c r="I52" s="6">
        <v>20.5645049327</v>
      </c>
      <c r="J52" s="6">
        <v>69.042894052099996</v>
      </c>
      <c r="K52" s="6">
        <v>69.573737478400005</v>
      </c>
      <c r="L52" s="6">
        <v>77.584663947799996</v>
      </c>
      <c r="M52" s="6">
        <v>74.047568393999995</v>
      </c>
      <c r="N52" s="6">
        <v>56.309633259500004</v>
      </c>
      <c r="O52" s="6">
        <v>59.346975425700002</v>
      </c>
      <c r="P52" s="6">
        <v>62.8239309752</v>
      </c>
      <c r="Q52" s="6">
        <v>62.3841087116</v>
      </c>
    </row>
    <row r="53" spans="1:17" x14ac:dyDescent="0.25">
      <c r="A53">
        <v>51</v>
      </c>
      <c r="B53" s="6">
        <v>59.348843623199997</v>
      </c>
      <c r="C53" s="6">
        <v>63.687388067400001</v>
      </c>
      <c r="D53" s="6">
        <v>66.282295588799997</v>
      </c>
      <c r="E53" s="6">
        <v>64.571202752800005</v>
      </c>
      <c r="F53" s="6">
        <v>9.4034186507499999</v>
      </c>
      <c r="G53" s="6">
        <v>15.7832396864</v>
      </c>
      <c r="H53" s="6">
        <v>8.8753557783599994</v>
      </c>
      <c r="I53" s="6">
        <v>19.2598485647</v>
      </c>
      <c r="J53" s="6">
        <v>69.0423651535</v>
      </c>
      <c r="K53" s="6">
        <v>69.133759394199998</v>
      </c>
      <c r="L53" s="6">
        <v>77.584704583999994</v>
      </c>
      <c r="M53" s="6">
        <v>73.869813667599999</v>
      </c>
      <c r="N53" s="6">
        <v>56.283521132799997</v>
      </c>
      <c r="O53" s="6">
        <v>58.808573904500001</v>
      </c>
      <c r="P53" s="6">
        <v>62.8399586277</v>
      </c>
      <c r="Q53" s="6">
        <v>62.044269590399999</v>
      </c>
    </row>
    <row r="54" spans="1:17" x14ac:dyDescent="0.25">
      <c r="A54">
        <v>52</v>
      </c>
      <c r="B54" s="6">
        <v>59.270824028600003</v>
      </c>
      <c r="C54" s="6">
        <v>64.332723692800002</v>
      </c>
      <c r="D54" s="6">
        <v>66.334805030200002</v>
      </c>
      <c r="E54" s="6">
        <v>64.784757347699994</v>
      </c>
      <c r="F54" s="6">
        <v>9.4053559010299992</v>
      </c>
      <c r="G54" s="6">
        <v>13.5930101594</v>
      </c>
      <c r="H54" s="6">
        <v>8.8641167696600007</v>
      </c>
      <c r="I54" s="6">
        <v>17.9506176477</v>
      </c>
      <c r="J54" s="6">
        <v>69.041900187400003</v>
      </c>
      <c r="K54" s="6">
        <v>68.960642289600003</v>
      </c>
      <c r="L54" s="6">
        <v>77.584738351300004</v>
      </c>
      <c r="M54" s="6">
        <v>73.752104534400004</v>
      </c>
      <c r="N54" s="6">
        <v>56.257266251200001</v>
      </c>
      <c r="O54" s="6">
        <v>58.590766478799999</v>
      </c>
      <c r="P54" s="6">
        <v>62.855907844900003</v>
      </c>
      <c r="Q54" s="6">
        <v>61.848798625800001</v>
      </c>
    </row>
    <row r="55" spans="1:17" x14ac:dyDescent="0.25">
      <c r="A55">
        <v>53</v>
      </c>
      <c r="B55" s="6">
        <v>59.192250246299999</v>
      </c>
      <c r="C55" s="6">
        <v>65.277089211900005</v>
      </c>
      <c r="D55" s="6">
        <v>66.387097664300001</v>
      </c>
      <c r="E55" s="6">
        <v>65.229963540900002</v>
      </c>
      <c r="F55" s="6">
        <v>9.4073983452499998</v>
      </c>
      <c r="G55" s="6">
        <v>12.0476030802</v>
      </c>
      <c r="H55" s="6">
        <v>8.8528969551000003</v>
      </c>
      <c r="I55" s="6">
        <v>16.801502848599998</v>
      </c>
      <c r="J55" s="6">
        <v>69.041492493199996</v>
      </c>
      <c r="K55" s="6">
        <v>69.141177933899996</v>
      </c>
      <c r="L55" s="6">
        <v>77.584768247300005</v>
      </c>
      <c r="M55" s="6">
        <v>73.739197201799996</v>
      </c>
      <c r="N55" s="6">
        <v>56.2308699182</v>
      </c>
      <c r="O55" s="6">
        <v>58.754498898900003</v>
      </c>
      <c r="P55" s="6">
        <v>62.871785001299997</v>
      </c>
      <c r="Q55" s="6">
        <v>61.809736615699997</v>
      </c>
    </row>
    <row r="56" spans="1:17" x14ac:dyDescent="0.25">
      <c r="A56">
        <v>54</v>
      </c>
      <c r="B56" s="6">
        <v>59.113146627699997</v>
      </c>
      <c r="C56" s="6">
        <v>70.045998683700006</v>
      </c>
      <c r="D56" s="6">
        <v>66.439154417400005</v>
      </c>
      <c r="E56" s="6">
        <v>65.8538883951</v>
      </c>
      <c r="F56" s="6">
        <v>9.4095260279000001</v>
      </c>
      <c r="G56" s="6">
        <v>14.2325357471</v>
      </c>
      <c r="H56" s="6">
        <v>8.84176166578</v>
      </c>
      <c r="I56" s="6">
        <v>16.139508715200002</v>
      </c>
      <c r="J56" s="6">
        <v>69.041132924300001</v>
      </c>
      <c r="K56" s="6">
        <v>69.668077621899997</v>
      </c>
      <c r="L56" s="6">
        <v>77.584797242400001</v>
      </c>
      <c r="M56" s="6">
        <v>73.848469240200004</v>
      </c>
      <c r="N56" s="6">
        <v>56.204332571999998</v>
      </c>
      <c r="O56" s="6">
        <v>60.976700405700001</v>
      </c>
      <c r="P56" s="6">
        <v>62.887595548900002</v>
      </c>
      <c r="Q56" s="6">
        <v>61.969990433299998</v>
      </c>
    </row>
    <row r="57" spans="1:17" x14ac:dyDescent="0.25">
      <c r="A57">
        <v>55</v>
      </c>
      <c r="B57" s="6">
        <v>59.033536373399997</v>
      </c>
      <c r="C57" s="6">
        <v>76.4886666994</v>
      </c>
      <c r="D57" s="6">
        <v>66.490959801200006</v>
      </c>
      <c r="E57" s="6">
        <v>70.167623180899994</v>
      </c>
      <c r="F57" s="6">
        <v>9.4117191492399996</v>
      </c>
      <c r="G57" s="6">
        <v>23.226802567699998</v>
      </c>
      <c r="H57" s="6">
        <v>8.8307589435399994</v>
      </c>
      <c r="I57" s="6">
        <v>19.170469790599999</v>
      </c>
      <c r="J57" s="6">
        <v>69.040811968900002</v>
      </c>
      <c r="K57" s="6">
        <v>70.261735347699997</v>
      </c>
      <c r="L57" s="6">
        <v>77.584827519900003</v>
      </c>
      <c r="M57" s="6">
        <v>74.060251311900004</v>
      </c>
      <c r="N57" s="6">
        <v>56.177654103599998</v>
      </c>
      <c r="O57" s="6">
        <v>64.880604986600005</v>
      </c>
      <c r="P57" s="6">
        <v>62.9033430028</v>
      </c>
      <c r="Q57" s="6">
        <v>64.014529649799996</v>
      </c>
    </row>
    <row r="58" spans="1:17" x14ac:dyDescent="0.25">
      <c r="A58">
        <v>56</v>
      </c>
      <c r="B58" s="6">
        <v>58.953438301799999</v>
      </c>
      <c r="C58" s="6">
        <v>66.546566391200002</v>
      </c>
      <c r="D58" s="6">
        <v>66.542504523000005</v>
      </c>
      <c r="E58" s="6">
        <v>70.563181352399994</v>
      </c>
      <c r="F58" s="6">
        <v>9.4139619844000002</v>
      </c>
      <c r="G58" s="6">
        <v>23.534275766899999</v>
      </c>
      <c r="H58" s="6">
        <v>8.8199133089899995</v>
      </c>
      <c r="I58" s="6">
        <v>23.7574983447</v>
      </c>
      <c r="J58" s="6">
        <v>69.040521303700004</v>
      </c>
      <c r="K58" s="6">
        <v>70.320884443799997</v>
      </c>
      <c r="L58" s="6">
        <v>77.584860118600005</v>
      </c>
      <c r="M58" s="6">
        <v>74.225290681499999</v>
      </c>
      <c r="N58" s="6">
        <v>56.150834171500001</v>
      </c>
      <c r="O58" s="6">
        <v>61.604174331599999</v>
      </c>
      <c r="P58" s="6">
        <v>62.919028650900003</v>
      </c>
      <c r="Q58" s="6">
        <v>64.960829468300005</v>
      </c>
    </row>
    <row r="59" spans="1:17" x14ac:dyDescent="0.25">
      <c r="A59">
        <v>57</v>
      </c>
      <c r="B59" s="6">
        <v>58.872865532299997</v>
      </c>
      <c r="C59" s="6">
        <v>64.340847404599998</v>
      </c>
      <c r="D59" s="6">
        <v>66.593785983299995</v>
      </c>
      <c r="E59" s="6">
        <v>65.975237158300004</v>
      </c>
      <c r="F59" s="6">
        <v>9.4162446035199991</v>
      </c>
      <c r="G59" s="6">
        <v>19.152643116099998</v>
      </c>
      <c r="H59" s="6">
        <v>8.8092266274799993</v>
      </c>
      <c r="I59" s="6">
        <v>21.854970342000001</v>
      </c>
      <c r="J59" s="6">
        <v>69.040254625200006</v>
      </c>
      <c r="K59" s="6">
        <v>69.867156589499999</v>
      </c>
      <c r="L59" s="6">
        <v>77.584894954500001</v>
      </c>
      <c r="M59" s="6">
        <v>74.174369928999994</v>
      </c>
      <c r="N59" s="6">
        <v>56.123872450100002</v>
      </c>
      <c r="O59" s="6">
        <v>59.934341427500001</v>
      </c>
      <c r="P59" s="6">
        <v>62.9346518702</v>
      </c>
      <c r="Q59" s="6">
        <v>63.084255156099999</v>
      </c>
    </row>
    <row r="60" spans="1:17" x14ac:dyDescent="0.25">
      <c r="A60">
        <v>58</v>
      </c>
      <c r="B60" s="6">
        <v>58.791825745799997</v>
      </c>
      <c r="C60" s="6">
        <v>64.043851277300007</v>
      </c>
      <c r="D60" s="6">
        <v>66.644807125699998</v>
      </c>
      <c r="E60" s="6">
        <v>65.143557182199999</v>
      </c>
      <c r="F60" s="6">
        <v>9.4185627578699993</v>
      </c>
      <c r="G60" s="6">
        <v>16.857045500000002</v>
      </c>
      <c r="H60" s="6">
        <v>8.7986839803500008</v>
      </c>
      <c r="I60" s="6">
        <v>19.959225294500001</v>
      </c>
      <c r="J60" s="6">
        <v>69.040007811600006</v>
      </c>
      <c r="K60" s="6">
        <v>69.350155653599998</v>
      </c>
      <c r="L60" s="6">
        <v>77.584931109899998</v>
      </c>
      <c r="M60" s="6">
        <v>73.999380512200005</v>
      </c>
      <c r="N60" s="6">
        <v>56.096768780200001</v>
      </c>
      <c r="O60" s="6">
        <v>59.208638252900002</v>
      </c>
      <c r="P60" s="6">
        <v>62.950210818899997</v>
      </c>
      <c r="Q60" s="6">
        <v>62.413909990299999</v>
      </c>
    </row>
    <row r="61" spans="1:17" x14ac:dyDescent="0.25">
      <c r="A61">
        <v>59</v>
      </c>
      <c r="B61" s="6">
        <v>58.710322448299998</v>
      </c>
      <c r="C61" s="6">
        <v>64.385652813299998</v>
      </c>
      <c r="D61" s="6">
        <v>66.695574363199995</v>
      </c>
      <c r="E61" s="6">
        <v>65.0956816315</v>
      </c>
      <c r="F61" s="6">
        <v>9.4209165776500008</v>
      </c>
      <c r="G61" s="6">
        <v>14.5703337783</v>
      </c>
      <c r="H61" s="6">
        <v>8.7882618368400003</v>
      </c>
      <c r="I61" s="6">
        <v>18.7083200611</v>
      </c>
      <c r="J61" s="6">
        <v>69.039778601899997</v>
      </c>
      <c r="K61" s="6">
        <v>69.016046290800006</v>
      </c>
      <c r="L61" s="6">
        <v>77.584967252200002</v>
      </c>
      <c r="M61" s="6">
        <v>73.831959115900005</v>
      </c>
      <c r="N61" s="6">
        <v>56.069523227600001</v>
      </c>
      <c r="O61" s="6">
        <v>58.791998036199999</v>
      </c>
      <c r="P61" s="6">
        <v>62.965703247</v>
      </c>
      <c r="Q61" s="6">
        <v>62.114466240600002</v>
      </c>
    </row>
    <row r="62" spans="1:17" x14ac:dyDescent="0.25">
      <c r="A62">
        <v>60</v>
      </c>
      <c r="B62" s="6">
        <v>58.628356634100001</v>
      </c>
      <c r="C62" s="6">
        <v>65.126032450300002</v>
      </c>
      <c r="D62" s="6">
        <v>66.746095312400001</v>
      </c>
      <c r="E62" s="6">
        <v>65.334507497199994</v>
      </c>
      <c r="F62" s="6">
        <v>9.4233087698899993</v>
      </c>
      <c r="G62" s="6">
        <v>12.6266899538</v>
      </c>
      <c r="H62" s="6">
        <v>8.7779360071700001</v>
      </c>
      <c r="I62" s="6">
        <v>17.426555929100001</v>
      </c>
      <c r="J62" s="6">
        <v>69.039566020899997</v>
      </c>
      <c r="K62" s="6">
        <v>69.000451698500001</v>
      </c>
      <c r="L62" s="6">
        <v>77.585002045400003</v>
      </c>
      <c r="M62" s="6">
        <v>73.738682952299996</v>
      </c>
      <c r="N62" s="6">
        <v>56.042136067199998</v>
      </c>
      <c r="O62" s="6">
        <v>58.724797274099998</v>
      </c>
      <c r="P62" s="6">
        <v>62.9811272038</v>
      </c>
      <c r="Q62" s="6">
        <v>61.944193775700001</v>
      </c>
    </row>
    <row r="63" spans="1:17" x14ac:dyDescent="0.25">
      <c r="C63" s="5"/>
      <c r="D63" s="5"/>
      <c r="E63" s="5"/>
      <c r="G63" s="4"/>
      <c r="H63" s="4"/>
      <c r="I63" s="4"/>
      <c r="K63" s="4"/>
      <c r="L63" s="4"/>
      <c r="M63" s="4"/>
      <c r="N63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7162-B5F6-4208-8A51-6001DC44384B}">
  <dimension ref="A1:U62"/>
  <sheetViews>
    <sheetView zoomScaleNormal="100" workbookViewId="0"/>
  </sheetViews>
  <sheetFormatPr baseColWidth="10" defaultRowHeight="15" x14ac:dyDescent="0.25"/>
  <cols>
    <col min="1" max="1" width="7.7109375" bestFit="1" customWidth="1"/>
    <col min="32" max="32" width="7.140625" bestFit="1" customWidth="1"/>
    <col min="33" max="33" width="17.42578125" customWidth="1"/>
    <col min="34" max="34" width="13.7109375" customWidth="1"/>
    <col min="35" max="35" width="15.7109375" customWidth="1"/>
  </cols>
  <sheetData>
    <row r="1" spans="1:21" x14ac:dyDescent="0.25">
      <c r="A1" t="s">
        <v>0</v>
      </c>
      <c r="B1" t="s">
        <v>26</v>
      </c>
      <c r="C1" t="s">
        <v>27</v>
      </c>
      <c r="D1" t="s">
        <v>28</v>
      </c>
      <c r="E1" t="s">
        <v>52</v>
      </c>
      <c r="F1" t="s">
        <v>56</v>
      </c>
      <c r="G1" t="s">
        <v>29</v>
      </c>
      <c r="H1" t="s">
        <v>30</v>
      </c>
      <c r="I1" t="s">
        <v>31</v>
      </c>
      <c r="J1" t="s">
        <v>53</v>
      </c>
      <c r="K1" t="s">
        <v>57</v>
      </c>
      <c r="L1" t="s">
        <v>32</v>
      </c>
      <c r="M1" t="s">
        <v>33</v>
      </c>
      <c r="N1" t="s">
        <v>34</v>
      </c>
      <c r="O1" t="s">
        <v>54</v>
      </c>
      <c r="P1" t="s">
        <v>58</v>
      </c>
      <c r="Q1" t="s">
        <v>35</v>
      </c>
      <c r="R1" t="s">
        <v>36</v>
      </c>
      <c r="S1" t="s">
        <v>37</v>
      </c>
      <c r="T1" t="s">
        <v>55</v>
      </c>
      <c r="U1" t="s">
        <v>59</v>
      </c>
    </row>
    <row r="2" spans="1:21" x14ac:dyDescent="0.25">
      <c r="A2">
        <v>0</v>
      </c>
      <c r="B2" s="6">
        <v>66.340955807399993</v>
      </c>
      <c r="C2" s="6">
        <v>64.385337815200003</v>
      </c>
      <c r="D2" s="6">
        <v>68.296573799499996</v>
      </c>
      <c r="E2" s="6">
        <v>65.441387823499994</v>
      </c>
      <c r="F2" s="6">
        <v>69.352623807800001</v>
      </c>
      <c r="G2" s="6">
        <v>5.3268111360699999</v>
      </c>
      <c r="H2" s="6">
        <v>5.3268111360699999</v>
      </c>
      <c r="I2" s="6">
        <v>5.3268111360699999</v>
      </c>
      <c r="J2" s="6">
        <v>5.3268111360699999</v>
      </c>
      <c r="K2" s="6">
        <v>5.3268111360699999</v>
      </c>
      <c r="L2" s="6">
        <v>61.108540746000003</v>
      </c>
      <c r="M2" s="6">
        <v>61.108540746000003</v>
      </c>
      <c r="N2" s="6">
        <v>61.108540746000003</v>
      </c>
      <c r="O2" s="6">
        <v>61.108540746000003</v>
      </c>
      <c r="P2" s="6">
        <v>61.108540746000003</v>
      </c>
      <c r="Q2" s="6">
        <v>54.000318470499998</v>
      </c>
      <c r="R2" s="6">
        <v>53.340363393600001</v>
      </c>
      <c r="S2" s="6">
        <v>54.660273547300001</v>
      </c>
      <c r="T2" s="6">
        <v>53.6967446333</v>
      </c>
      <c r="U2" s="6">
        <v>55.016654787</v>
      </c>
    </row>
    <row r="3" spans="1:21" x14ac:dyDescent="0.25">
      <c r="A3">
        <v>1</v>
      </c>
      <c r="B3" s="6">
        <v>64.487009365600002</v>
      </c>
      <c r="C3" s="6">
        <v>61.597455598899998</v>
      </c>
      <c r="D3" s="6">
        <v>67.376563132399994</v>
      </c>
      <c r="E3" s="6">
        <v>63.075112370699998</v>
      </c>
      <c r="F3" s="6">
        <v>68.854219904199994</v>
      </c>
      <c r="G3" s="6">
        <v>22.021274960500001</v>
      </c>
      <c r="H3" s="6">
        <v>22.021274960500001</v>
      </c>
      <c r="I3" s="6">
        <v>22.021274960500001</v>
      </c>
      <c r="J3" s="6">
        <v>22.021274960500001</v>
      </c>
      <c r="K3" s="6">
        <v>22.021274960500001</v>
      </c>
      <c r="L3" s="6">
        <v>65.087398777999994</v>
      </c>
      <c r="M3" s="6">
        <v>65.087398777999994</v>
      </c>
      <c r="N3" s="6">
        <v>65.087398777999994</v>
      </c>
      <c r="O3" s="6">
        <v>65.087398777999994</v>
      </c>
      <c r="P3" s="6">
        <v>65.087398777999994</v>
      </c>
      <c r="Q3" s="6">
        <v>58.0336524266</v>
      </c>
      <c r="R3" s="6">
        <v>57.058525543000002</v>
      </c>
      <c r="S3" s="6">
        <v>59.008779310199998</v>
      </c>
      <c r="T3" s="6">
        <v>57.557184837599998</v>
      </c>
      <c r="U3" s="6">
        <v>59.507438604699999</v>
      </c>
    </row>
    <row r="4" spans="1:21" x14ac:dyDescent="0.25">
      <c r="A4">
        <v>2</v>
      </c>
      <c r="B4" s="6">
        <v>49.2788886576</v>
      </c>
      <c r="C4" s="6">
        <v>41.618666320199999</v>
      </c>
      <c r="D4" s="6">
        <v>56.939110994899998</v>
      </c>
      <c r="E4" s="6">
        <v>45.520822134299998</v>
      </c>
      <c r="F4" s="6">
        <v>60.841266808999997</v>
      </c>
      <c r="G4" s="6">
        <v>31.540819007700001</v>
      </c>
      <c r="H4" s="6">
        <v>31.540819007700001</v>
      </c>
      <c r="I4" s="6">
        <v>31.540819007700001</v>
      </c>
      <c r="J4" s="6">
        <v>31.540819007700001</v>
      </c>
      <c r="K4" s="6">
        <v>31.540819007700001</v>
      </c>
      <c r="L4" s="6">
        <v>67.508311168500001</v>
      </c>
      <c r="M4" s="6">
        <v>67.508311168500001</v>
      </c>
      <c r="N4" s="6">
        <v>67.508311168500001</v>
      </c>
      <c r="O4" s="6">
        <v>67.508311168500001</v>
      </c>
      <c r="P4" s="6">
        <v>67.508311168500001</v>
      </c>
      <c r="Q4" s="6">
        <v>55.6346404353</v>
      </c>
      <c r="R4" s="6">
        <v>53.049573903099997</v>
      </c>
      <c r="S4" s="6">
        <v>58.219706967500002</v>
      </c>
      <c r="T4" s="6">
        <v>54.3664198058</v>
      </c>
      <c r="U4" s="6">
        <v>59.536552870199998</v>
      </c>
    </row>
    <row r="5" spans="1:21" x14ac:dyDescent="0.25">
      <c r="A5">
        <v>3</v>
      </c>
      <c r="B5" s="6">
        <v>30.554864626699999</v>
      </c>
      <c r="C5" s="6">
        <v>20.892820196100001</v>
      </c>
      <c r="D5" s="6">
        <v>40.216909057300001</v>
      </c>
      <c r="E5" s="6">
        <v>25.890071912100002</v>
      </c>
      <c r="F5" s="6">
        <v>45.214160773300001</v>
      </c>
      <c r="G5" s="6">
        <v>19.693233239200001</v>
      </c>
      <c r="H5" s="6">
        <v>19.693233239200001</v>
      </c>
      <c r="I5" s="6">
        <v>19.693233239200001</v>
      </c>
      <c r="J5" s="6">
        <v>19.693233239200001</v>
      </c>
      <c r="K5" s="6">
        <v>19.693233239200001</v>
      </c>
      <c r="L5" s="6">
        <v>68.328551517700006</v>
      </c>
      <c r="M5" s="6">
        <v>68.328551517700006</v>
      </c>
      <c r="N5" s="6">
        <v>68.328551517700006</v>
      </c>
      <c r="O5" s="6">
        <v>68.328551517700006</v>
      </c>
      <c r="P5" s="6">
        <v>68.328551517700006</v>
      </c>
      <c r="Q5" s="6">
        <v>47.844101498900002</v>
      </c>
      <c r="R5" s="6">
        <v>44.583487564999999</v>
      </c>
      <c r="S5" s="6">
        <v>51.104715432799999</v>
      </c>
      <c r="T5" s="6">
        <v>46.269891378700002</v>
      </c>
      <c r="U5" s="6">
        <v>52.791119246599997</v>
      </c>
    </row>
    <row r="6" spans="1:21" x14ac:dyDescent="0.25">
      <c r="A6">
        <v>4</v>
      </c>
      <c r="B6" s="6">
        <v>37.072055325500003</v>
      </c>
      <c r="C6" s="6">
        <v>29.690199279800002</v>
      </c>
      <c r="D6" s="6">
        <v>44.4539113712</v>
      </c>
      <c r="E6" s="6">
        <v>33.546911023500002</v>
      </c>
      <c r="F6" s="6">
        <v>48.310623114899997</v>
      </c>
      <c r="G6" s="6">
        <v>11.8402886685</v>
      </c>
      <c r="H6" s="6">
        <v>11.8402886685</v>
      </c>
      <c r="I6" s="6">
        <v>11.8402886685</v>
      </c>
      <c r="J6" s="6">
        <v>11.8402886685</v>
      </c>
      <c r="K6" s="6">
        <v>11.8402886685</v>
      </c>
      <c r="L6" s="6">
        <v>68.520531676900006</v>
      </c>
      <c r="M6" s="6">
        <v>68.520531676900006</v>
      </c>
      <c r="N6" s="6">
        <v>68.520531676900006</v>
      </c>
      <c r="O6" s="6">
        <v>68.520531676900006</v>
      </c>
      <c r="P6" s="6">
        <v>68.520531676900006</v>
      </c>
      <c r="Q6" s="6">
        <v>48.890807218100001</v>
      </c>
      <c r="R6" s="6">
        <v>46.3996799154</v>
      </c>
      <c r="S6" s="6">
        <v>51.381934520800002</v>
      </c>
      <c r="T6" s="6">
        <v>47.7011899779</v>
      </c>
      <c r="U6" s="6">
        <v>52.683444583300002</v>
      </c>
    </row>
    <row r="7" spans="1:21" x14ac:dyDescent="0.25">
      <c r="A7">
        <v>5</v>
      </c>
      <c r="B7" s="6">
        <v>43.8228422882</v>
      </c>
      <c r="C7" s="6">
        <v>39.11355245</v>
      </c>
      <c r="D7" s="6">
        <v>48.532132126400001</v>
      </c>
      <c r="E7" s="6">
        <v>41.632928424100001</v>
      </c>
      <c r="F7" s="6">
        <v>51.0515081004</v>
      </c>
      <c r="G7" s="6">
        <v>9.2288441023699992</v>
      </c>
      <c r="H7" s="6">
        <v>9.2288441023699992</v>
      </c>
      <c r="I7" s="6">
        <v>9.2288441023699992</v>
      </c>
      <c r="J7" s="6">
        <v>9.2288441023699992</v>
      </c>
      <c r="K7" s="6">
        <v>9.2288441023699992</v>
      </c>
      <c r="L7" s="6">
        <v>68.716196973799995</v>
      </c>
      <c r="M7" s="6">
        <v>68.716196973799995</v>
      </c>
      <c r="N7" s="6">
        <v>68.716196973799995</v>
      </c>
      <c r="O7" s="6">
        <v>68.716196973799995</v>
      </c>
      <c r="P7" s="6">
        <v>68.716196973799995</v>
      </c>
      <c r="Q7" s="6">
        <v>50.852038341399997</v>
      </c>
      <c r="R7" s="6">
        <v>49.262811943700001</v>
      </c>
      <c r="S7" s="6">
        <v>52.441264739200001</v>
      </c>
      <c r="T7" s="6">
        <v>50.113016314500001</v>
      </c>
      <c r="U7" s="6">
        <v>53.291469110000001</v>
      </c>
    </row>
    <row r="8" spans="1:21" x14ac:dyDescent="0.25">
      <c r="A8">
        <v>6</v>
      </c>
      <c r="B8" s="6">
        <v>47.2793285252</v>
      </c>
      <c r="C8" s="6">
        <v>43.771227350700002</v>
      </c>
      <c r="D8" s="6">
        <v>50.787429699699999</v>
      </c>
      <c r="E8" s="6">
        <v>45.6866307166</v>
      </c>
      <c r="F8" s="6">
        <v>52.702833065699998</v>
      </c>
      <c r="G8" s="6">
        <v>8.1419025253800008</v>
      </c>
      <c r="H8" s="6">
        <v>8.1419025253800008</v>
      </c>
      <c r="I8" s="6">
        <v>8.1419025253800008</v>
      </c>
      <c r="J8" s="6">
        <v>8.1419025253800008</v>
      </c>
      <c r="K8" s="6">
        <v>8.1419025253800008</v>
      </c>
      <c r="L8" s="6">
        <v>69.010421140199995</v>
      </c>
      <c r="M8" s="6">
        <v>69.010421140199995</v>
      </c>
      <c r="N8" s="6">
        <v>69.010421140199995</v>
      </c>
      <c r="O8" s="6">
        <v>69.010421140199995</v>
      </c>
      <c r="P8" s="6">
        <v>69.010421140199995</v>
      </c>
      <c r="Q8" s="6">
        <v>51.993697743399999</v>
      </c>
      <c r="R8" s="6">
        <v>50.809831983599999</v>
      </c>
      <c r="S8" s="6">
        <v>53.177563503199998</v>
      </c>
      <c r="T8" s="6">
        <v>51.456215981200003</v>
      </c>
      <c r="U8" s="6">
        <v>53.823947500800003</v>
      </c>
    </row>
    <row r="9" spans="1:21" x14ac:dyDescent="0.25">
      <c r="A9">
        <v>7</v>
      </c>
      <c r="B9" s="6">
        <v>49.379028304599998</v>
      </c>
      <c r="C9" s="6">
        <v>45.466392044499997</v>
      </c>
      <c r="D9" s="6">
        <v>53.291664564800001</v>
      </c>
      <c r="E9" s="6">
        <v>47.562441049900002</v>
      </c>
      <c r="F9" s="6">
        <v>55.387713570199999</v>
      </c>
      <c r="G9" s="6">
        <v>8.5348525527899994</v>
      </c>
      <c r="H9" s="6">
        <v>8.5348525527899994</v>
      </c>
      <c r="I9" s="6">
        <v>8.5348525527899994</v>
      </c>
      <c r="J9" s="6">
        <v>8.5348525527899994</v>
      </c>
      <c r="K9" s="6">
        <v>8.5348525527899994</v>
      </c>
      <c r="L9" s="6">
        <v>69.379572323999994</v>
      </c>
      <c r="M9" s="6">
        <v>69.379572323999994</v>
      </c>
      <c r="N9" s="6">
        <v>69.379572323999994</v>
      </c>
      <c r="O9" s="6">
        <v>69.379572323999994</v>
      </c>
      <c r="P9" s="6">
        <v>69.379572323999994</v>
      </c>
      <c r="Q9" s="6">
        <v>52.9506366954</v>
      </c>
      <c r="R9" s="6">
        <v>51.630253995899999</v>
      </c>
      <c r="S9" s="6">
        <v>54.271019395000003</v>
      </c>
      <c r="T9" s="6">
        <v>52.337599800699998</v>
      </c>
      <c r="U9" s="6">
        <v>54.978365199700001</v>
      </c>
    </row>
    <row r="10" spans="1:21" x14ac:dyDescent="0.25">
      <c r="A10">
        <v>8</v>
      </c>
      <c r="B10" s="6">
        <v>48.112881156199997</v>
      </c>
      <c r="C10" s="6">
        <v>42.298517856899998</v>
      </c>
      <c r="D10" s="6">
        <v>53.927244455599997</v>
      </c>
      <c r="E10" s="6">
        <v>45.327033639600003</v>
      </c>
      <c r="F10" s="6">
        <v>56.955760238300002</v>
      </c>
      <c r="G10" s="6">
        <v>13.158723329500001</v>
      </c>
      <c r="H10" s="6">
        <v>13.158723329500001</v>
      </c>
      <c r="I10" s="6">
        <v>13.158723329500001</v>
      </c>
      <c r="J10" s="6">
        <v>13.158723329500001</v>
      </c>
      <c r="K10" s="6">
        <v>13.158723329500001</v>
      </c>
      <c r="L10" s="6">
        <v>69.716856656100006</v>
      </c>
      <c r="M10" s="6">
        <v>69.716856656100006</v>
      </c>
      <c r="N10" s="6">
        <v>69.716856656100006</v>
      </c>
      <c r="O10" s="6">
        <v>69.716856656100006</v>
      </c>
      <c r="P10" s="6">
        <v>69.716856656100006</v>
      </c>
      <c r="Q10" s="6">
        <v>53.428744723900003</v>
      </c>
      <c r="R10" s="6">
        <v>51.4665933255</v>
      </c>
      <c r="S10" s="6">
        <v>55.390896122199997</v>
      </c>
      <c r="T10" s="6">
        <v>52.488615199900003</v>
      </c>
      <c r="U10" s="6">
        <v>56.412917996700003</v>
      </c>
    </row>
    <row r="11" spans="1:21" x14ac:dyDescent="0.25">
      <c r="A11">
        <v>9</v>
      </c>
      <c r="B11" s="6">
        <v>40.703607051100001</v>
      </c>
      <c r="C11" s="6">
        <v>33.431786495099999</v>
      </c>
      <c r="D11" s="6">
        <v>47.975427607100002</v>
      </c>
      <c r="E11" s="6">
        <v>37.2153228759</v>
      </c>
      <c r="F11" s="6">
        <v>51.758963987800001</v>
      </c>
      <c r="G11" s="6">
        <v>12.3211746507</v>
      </c>
      <c r="H11" s="6">
        <v>12.3211746507</v>
      </c>
      <c r="I11" s="6">
        <v>12.3211746507</v>
      </c>
      <c r="J11" s="6">
        <v>12.3211746507</v>
      </c>
      <c r="K11" s="6">
        <v>12.3211746507</v>
      </c>
      <c r="L11" s="6">
        <v>69.776944775800004</v>
      </c>
      <c r="M11" s="6">
        <v>69.776944775800004</v>
      </c>
      <c r="N11" s="6">
        <v>69.776944775800004</v>
      </c>
      <c r="O11" s="6">
        <v>69.776944775800004</v>
      </c>
      <c r="P11" s="6">
        <v>69.776944775800004</v>
      </c>
      <c r="Q11" s="6">
        <v>50.825375423700002</v>
      </c>
      <c r="R11" s="6">
        <v>48.371381385500001</v>
      </c>
      <c r="S11" s="6">
        <v>53.279369461999998</v>
      </c>
      <c r="T11" s="6">
        <v>49.648197232400001</v>
      </c>
      <c r="U11" s="6">
        <v>54.556185308899998</v>
      </c>
    </row>
    <row r="12" spans="1:21" x14ac:dyDescent="0.25">
      <c r="A12">
        <v>10</v>
      </c>
      <c r="B12" s="6">
        <v>40.091016454299996</v>
      </c>
      <c r="C12" s="6">
        <v>32.761711672099999</v>
      </c>
      <c r="D12" s="6">
        <v>47.420321236600003</v>
      </c>
      <c r="E12" s="6">
        <v>36.575618869000003</v>
      </c>
      <c r="F12" s="6">
        <v>51.2342284335</v>
      </c>
      <c r="G12" s="6">
        <v>10.2255608352</v>
      </c>
      <c r="H12" s="6">
        <v>10.2255608352</v>
      </c>
      <c r="I12" s="6">
        <v>10.2255608352</v>
      </c>
      <c r="J12" s="6">
        <v>10.2255608352</v>
      </c>
      <c r="K12" s="6">
        <v>10.2255608352</v>
      </c>
      <c r="L12" s="6">
        <v>69.6133572034</v>
      </c>
      <c r="M12" s="6">
        <v>69.6133572034</v>
      </c>
      <c r="N12" s="6">
        <v>69.6133572034</v>
      </c>
      <c r="O12" s="6">
        <v>69.6133572034</v>
      </c>
      <c r="P12" s="6">
        <v>69.6133572034</v>
      </c>
      <c r="Q12" s="6">
        <v>50.202909843199997</v>
      </c>
      <c r="R12" s="6">
        <v>47.729516818500002</v>
      </c>
      <c r="S12" s="6">
        <v>52.676302867899999</v>
      </c>
      <c r="T12" s="6">
        <v>49.016581790899998</v>
      </c>
      <c r="U12" s="6">
        <v>53.963367840300002</v>
      </c>
    </row>
    <row r="13" spans="1:21" x14ac:dyDescent="0.25">
      <c r="A13">
        <v>11</v>
      </c>
      <c r="B13" s="6">
        <v>41.454854369400003</v>
      </c>
      <c r="C13" s="6">
        <v>34.901531745600003</v>
      </c>
      <c r="D13" s="6">
        <v>48.008176993200003</v>
      </c>
      <c r="E13" s="6">
        <v>38.330103873600002</v>
      </c>
      <c r="F13" s="6">
        <v>51.436749121200002</v>
      </c>
      <c r="G13" s="6">
        <v>9.3825826203799991</v>
      </c>
      <c r="H13" s="6">
        <v>9.3825826203799991</v>
      </c>
      <c r="I13" s="6">
        <v>9.3825826203799991</v>
      </c>
      <c r="J13" s="6">
        <v>9.3825826203799991</v>
      </c>
      <c r="K13" s="6">
        <v>9.3825826203799991</v>
      </c>
      <c r="L13" s="6">
        <v>69.414599266099998</v>
      </c>
      <c r="M13" s="6">
        <v>69.414599266099998</v>
      </c>
      <c r="N13" s="6">
        <v>69.414599266099998</v>
      </c>
      <c r="O13" s="6">
        <v>69.414599266099998</v>
      </c>
      <c r="P13" s="6">
        <v>69.414599266099998</v>
      </c>
      <c r="Q13" s="6">
        <v>50.428990075999998</v>
      </c>
      <c r="R13" s="6">
        <v>48.217464843000002</v>
      </c>
      <c r="S13" s="6">
        <v>52.640515309000001</v>
      </c>
      <c r="T13" s="6">
        <v>49.3744922335</v>
      </c>
      <c r="U13" s="6">
        <v>53.797542699499999</v>
      </c>
    </row>
    <row r="14" spans="1:21" x14ac:dyDescent="0.25">
      <c r="A14">
        <v>12</v>
      </c>
      <c r="B14" s="6">
        <v>42.734214133400002</v>
      </c>
      <c r="C14" s="6">
        <v>36.866458388399998</v>
      </c>
      <c r="D14" s="6">
        <v>48.601969878399998</v>
      </c>
      <c r="E14" s="6">
        <v>39.954705404000002</v>
      </c>
      <c r="F14" s="6">
        <v>51.690216894000002</v>
      </c>
      <c r="G14" s="6">
        <v>9.0116934828899993</v>
      </c>
      <c r="H14" s="6">
        <v>9.0116934828899993</v>
      </c>
      <c r="I14" s="6">
        <v>9.0116934828899993</v>
      </c>
      <c r="J14" s="6">
        <v>9.0116934828899993</v>
      </c>
      <c r="K14" s="6">
        <v>9.0116934828899993</v>
      </c>
      <c r="L14" s="6">
        <v>69.257893729200006</v>
      </c>
      <c r="M14" s="6">
        <v>69.257893729200006</v>
      </c>
      <c r="N14" s="6">
        <v>69.257893729200006</v>
      </c>
      <c r="O14" s="6">
        <v>69.257893729200006</v>
      </c>
      <c r="P14" s="6">
        <v>69.257893729200006</v>
      </c>
      <c r="Q14" s="6">
        <v>50.722834912300002</v>
      </c>
      <c r="R14" s="6">
        <v>48.742665365299999</v>
      </c>
      <c r="S14" s="6">
        <v>52.703004459299997</v>
      </c>
      <c r="T14" s="6">
        <v>49.7848445152</v>
      </c>
      <c r="U14" s="6">
        <v>53.745183609100003</v>
      </c>
    </row>
    <row r="15" spans="1:21" x14ac:dyDescent="0.25">
      <c r="A15">
        <v>13</v>
      </c>
      <c r="B15" s="6">
        <v>43.358384121900002</v>
      </c>
      <c r="C15" s="6">
        <v>37.840790510399998</v>
      </c>
      <c r="D15" s="6">
        <v>48.875977733399999</v>
      </c>
      <c r="E15" s="6">
        <v>40.755761634999999</v>
      </c>
      <c r="F15" s="6">
        <v>51.790948858</v>
      </c>
      <c r="G15" s="6">
        <v>8.8980440674099999</v>
      </c>
      <c r="H15" s="6">
        <v>8.8980440674099999</v>
      </c>
      <c r="I15" s="6">
        <v>8.8980440674099999</v>
      </c>
      <c r="J15" s="6">
        <v>8.8980440674099999</v>
      </c>
      <c r="K15" s="6">
        <v>8.8980440674099999</v>
      </c>
      <c r="L15" s="6">
        <v>69.164060130099998</v>
      </c>
      <c r="M15" s="6">
        <v>69.164060130099998</v>
      </c>
      <c r="N15" s="6">
        <v>69.164060130099998</v>
      </c>
      <c r="O15" s="6">
        <v>69.164060130099998</v>
      </c>
      <c r="P15" s="6">
        <v>69.164060130099998</v>
      </c>
      <c r="Q15" s="6">
        <v>50.868150912700003</v>
      </c>
      <c r="R15" s="6">
        <v>49.006149268999998</v>
      </c>
      <c r="S15" s="6">
        <v>52.7301525564</v>
      </c>
      <c r="T15" s="6">
        <v>49.989853653099999</v>
      </c>
      <c r="U15" s="6">
        <v>53.713856940500001</v>
      </c>
    </row>
    <row r="16" spans="1:21" x14ac:dyDescent="0.25">
      <c r="A16">
        <v>14</v>
      </c>
      <c r="B16" s="6">
        <v>43.356074927800002</v>
      </c>
      <c r="C16" s="6">
        <v>37.877520372500001</v>
      </c>
      <c r="D16" s="6">
        <v>48.834629483199997</v>
      </c>
      <c r="E16" s="6">
        <v>40.774049273899998</v>
      </c>
      <c r="F16" s="6">
        <v>51.7311583846</v>
      </c>
      <c r="G16" s="6">
        <v>8.9440724635100004</v>
      </c>
      <c r="H16" s="6">
        <v>8.9440724635100004</v>
      </c>
      <c r="I16" s="6">
        <v>8.9440724635100004</v>
      </c>
      <c r="J16" s="6">
        <v>8.9440724635100004</v>
      </c>
      <c r="K16" s="6">
        <v>8.9440724635100004</v>
      </c>
      <c r="L16" s="6">
        <v>69.127622569600007</v>
      </c>
      <c r="M16" s="6">
        <v>69.127622569600007</v>
      </c>
      <c r="N16" s="6">
        <v>69.127622569600007</v>
      </c>
      <c r="O16" s="6">
        <v>69.127622569600007</v>
      </c>
      <c r="P16" s="6">
        <v>69.127622569600007</v>
      </c>
      <c r="Q16" s="6">
        <v>50.856349545900002</v>
      </c>
      <c r="R16" s="6">
        <v>49.007522266199999</v>
      </c>
      <c r="S16" s="6">
        <v>52.705176825599999</v>
      </c>
      <c r="T16" s="6">
        <v>49.985003022400001</v>
      </c>
      <c r="U16" s="6">
        <v>53.682657581800001</v>
      </c>
    </row>
    <row r="17" spans="1:21" x14ac:dyDescent="0.25">
      <c r="A17">
        <v>15</v>
      </c>
      <c r="B17" s="6">
        <v>42.958315538199997</v>
      </c>
      <c r="C17" s="6">
        <v>37.321971507500002</v>
      </c>
      <c r="D17" s="6">
        <v>48.594659568899999</v>
      </c>
      <c r="E17" s="6">
        <v>40.297879615600003</v>
      </c>
      <c r="F17" s="6">
        <v>51.570567677</v>
      </c>
      <c r="G17" s="6">
        <v>9.0762331280699993</v>
      </c>
      <c r="H17" s="6">
        <v>9.0762331280699993</v>
      </c>
      <c r="I17" s="6">
        <v>9.0762331280699993</v>
      </c>
      <c r="J17" s="6">
        <v>9.0762331280699993</v>
      </c>
      <c r="K17" s="6">
        <v>9.0762331280699993</v>
      </c>
      <c r="L17" s="6">
        <v>69.131332047900003</v>
      </c>
      <c r="M17" s="6">
        <v>69.131332047900003</v>
      </c>
      <c r="N17" s="6">
        <v>69.131332047900003</v>
      </c>
      <c r="O17" s="6">
        <v>69.131332047900003</v>
      </c>
      <c r="P17" s="6">
        <v>69.131332047900003</v>
      </c>
      <c r="Q17" s="6">
        <v>50.745011369799997</v>
      </c>
      <c r="R17" s="6">
        <v>48.842935466999997</v>
      </c>
      <c r="S17" s="6">
        <v>52.647087272599997</v>
      </c>
      <c r="T17" s="6">
        <v>49.847204026699998</v>
      </c>
      <c r="U17" s="6">
        <v>53.651355832199997</v>
      </c>
    </row>
    <row r="18" spans="1:21" x14ac:dyDescent="0.25">
      <c r="A18">
        <v>16</v>
      </c>
      <c r="B18" s="6">
        <v>42.408207377899998</v>
      </c>
      <c r="C18" s="6">
        <v>36.536179086600001</v>
      </c>
      <c r="D18" s="6">
        <v>48.280235669299998</v>
      </c>
      <c r="E18" s="6">
        <v>39.630050285999999</v>
      </c>
      <c r="F18" s="6">
        <v>51.374106868600002</v>
      </c>
      <c r="G18" s="6">
        <v>9.2340931919500004</v>
      </c>
      <c r="H18" s="6">
        <v>9.2340931919500004</v>
      </c>
      <c r="I18" s="6">
        <v>9.2340931919500004</v>
      </c>
      <c r="J18" s="6">
        <v>9.2340931919500004</v>
      </c>
      <c r="K18" s="6">
        <v>9.2340931919500004</v>
      </c>
      <c r="L18" s="6">
        <v>69.155276563499996</v>
      </c>
      <c r="M18" s="6">
        <v>69.155276563499996</v>
      </c>
      <c r="N18" s="6">
        <v>69.155276563499996</v>
      </c>
      <c r="O18" s="6">
        <v>69.155276563499996</v>
      </c>
      <c r="P18" s="6">
        <v>69.155276563499996</v>
      </c>
      <c r="Q18" s="6">
        <v>50.596536313000001</v>
      </c>
      <c r="R18" s="6">
        <v>48.614924925799997</v>
      </c>
      <c r="S18" s="6">
        <v>52.578147700199999</v>
      </c>
      <c r="T18" s="6">
        <v>49.659002047900003</v>
      </c>
      <c r="U18" s="6">
        <v>53.622224822299998</v>
      </c>
    </row>
    <row r="19" spans="1:21" x14ac:dyDescent="0.25">
      <c r="A19">
        <v>17</v>
      </c>
      <c r="B19" s="6">
        <v>41.881973473099997</v>
      </c>
      <c r="C19" s="6">
        <v>35.783901947499999</v>
      </c>
      <c r="D19" s="6">
        <v>47.980044998700002</v>
      </c>
      <c r="E19" s="6">
        <v>38.9907897338</v>
      </c>
      <c r="F19" s="6">
        <v>51.186932785000003</v>
      </c>
      <c r="G19" s="6">
        <v>9.3739411611999994</v>
      </c>
      <c r="H19" s="6">
        <v>9.3739411611999994</v>
      </c>
      <c r="I19" s="6">
        <v>9.3739411611999994</v>
      </c>
      <c r="J19" s="6">
        <v>9.3739411611999994</v>
      </c>
      <c r="K19" s="6">
        <v>9.3739411611999994</v>
      </c>
      <c r="L19" s="6">
        <v>69.182473880000003</v>
      </c>
      <c r="M19" s="6">
        <v>69.182473880000003</v>
      </c>
      <c r="N19" s="6">
        <v>69.182473880000003</v>
      </c>
      <c r="O19" s="6">
        <v>69.182473880000003</v>
      </c>
      <c r="P19" s="6">
        <v>69.182473880000003</v>
      </c>
      <c r="Q19" s="6">
        <v>50.454890195499999</v>
      </c>
      <c r="R19" s="6">
        <v>48.396996844900002</v>
      </c>
      <c r="S19" s="6">
        <v>52.512783546000001</v>
      </c>
      <c r="T19" s="6">
        <v>49.479213251200001</v>
      </c>
      <c r="U19" s="6">
        <v>53.5949999523</v>
      </c>
    </row>
    <row r="20" spans="1:21" x14ac:dyDescent="0.25">
      <c r="A20">
        <v>18</v>
      </c>
      <c r="B20" s="6">
        <v>41.4723405258</v>
      </c>
      <c r="C20" s="6">
        <v>35.205635573599999</v>
      </c>
      <c r="D20" s="6">
        <v>47.739045478100003</v>
      </c>
      <c r="E20" s="6">
        <v>38.496898570799999</v>
      </c>
      <c r="F20" s="6">
        <v>51.030308475299996</v>
      </c>
      <c r="G20" s="6">
        <v>9.4710784205700005</v>
      </c>
      <c r="H20" s="6">
        <v>9.4710784205700005</v>
      </c>
      <c r="I20" s="6">
        <v>9.4710784205700005</v>
      </c>
      <c r="J20" s="6">
        <v>9.4710784205700005</v>
      </c>
      <c r="K20" s="6">
        <v>9.4710784205700005</v>
      </c>
      <c r="L20" s="6">
        <v>69.201576706599994</v>
      </c>
      <c r="M20" s="6">
        <v>69.201576706599994</v>
      </c>
      <c r="N20" s="6">
        <v>69.201576706599994</v>
      </c>
      <c r="O20" s="6">
        <v>69.201576706599994</v>
      </c>
      <c r="P20" s="6">
        <v>69.201576706599994</v>
      </c>
      <c r="Q20" s="6">
        <v>50.341723203599997</v>
      </c>
      <c r="R20" s="6">
        <v>48.226921762400004</v>
      </c>
      <c r="S20" s="6">
        <v>52.4565246449</v>
      </c>
      <c r="T20" s="6">
        <v>49.337611954899998</v>
      </c>
      <c r="U20" s="6">
        <v>53.567214837400002</v>
      </c>
    </row>
    <row r="21" spans="1:21" x14ac:dyDescent="0.25">
      <c r="A21">
        <v>19</v>
      </c>
      <c r="B21" s="6">
        <v>41.202591514200002</v>
      </c>
      <c r="C21" s="6">
        <v>34.838411287200003</v>
      </c>
      <c r="D21" s="6">
        <v>47.566771741300002</v>
      </c>
      <c r="E21" s="6">
        <v>38.178649349799997</v>
      </c>
      <c r="F21" s="6">
        <v>50.907009803900003</v>
      </c>
      <c r="G21" s="6">
        <v>9.5183623928600003</v>
      </c>
      <c r="H21" s="6">
        <v>9.5183623928600003</v>
      </c>
      <c r="I21" s="6">
        <v>9.5183623928600003</v>
      </c>
      <c r="J21" s="6">
        <v>9.5183623928600003</v>
      </c>
      <c r="K21" s="6">
        <v>9.5183623928600003</v>
      </c>
      <c r="L21" s="6">
        <v>69.207358013800004</v>
      </c>
      <c r="M21" s="6">
        <v>69.207358013800004</v>
      </c>
      <c r="N21" s="6">
        <v>69.207358013800004</v>
      </c>
      <c r="O21" s="6">
        <v>69.207358013800004</v>
      </c>
      <c r="P21" s="6">
        <v>69.207358013800004</v>
      </c>
      <c r="Q21" s="6">
        <v>50.261124740200003</v>
      </c>
      <c r="R21" s="6">
        <v>48.113428683199999</v>
      </c>
      <c r="S21" s="6">
        <v>52.408820797300002</v>
      </c>
      <c r="T21" s="6">
        <v>49.240646307600002</v>
      </c>
      <c r="U21" s="6">
        <v>53.536038421599997</v>
      </c>
    </row>
    <row r="22" spans="1:21" x14ac:dyDescent="0.25">
      <c r="A22">
        <v>20</v>
      </c>
      <c r="B22" s="6">
        <v>41.051209230399998</v>
      </c>
      <c r="C22" s="6">
        <v>34.651617109999997</v>
      </c>
      <c r="D22" s="6">
        <v>47.450801350799999</v>
      </c>
      <c r="E22" s="6">
        <v>38.010017858700003</v>
      </c>
      <c r="F22" s="6">
        <v>50.809202099499998</v>
      </c>
      <c r="G22" s="6">
        <v>9.5218674628599995</v>
      </c>
      <c r="H22" s="6">
        <v>9.5218674628599995</v>
      </c>
      <c r="I22" s="6">
        <v>9.5218674628599995</v>
      </c>
      <c r="J22" s="6">
        <v>9.5218674628599995</v>
      </c>
      <c r="K22" s="6">
        <v>9.5218674628599995</v>
      </c>
      <c r="L22" s="6">
        <v>69.199721895400003</v>
      </c>
      <c r="M22" s="6">
        <v>69.199721895400003</v>
      </c>
      <c r="N22" s="6">
        <v>69.199721895400003</v>
      </c>
      <c r="O22" s="6">
        <v>69.199721895400003</v>
      </c>
      <c r="P22" s="6">
        <v>69.199721895400003</v>
      </c>
      <c r="Q22" s="6">
        <v>50.206751527800002</v>
      </c>
      <c r="R22" s="6">
        <v>48.047105151799997</v>
      </c>
      <c r="S22" s="6">
        <v>52.366397903799999</v>
      </c>
      <c r="T22" s="6">
        <v>49.180452069799998</v>
      </c>
      <c r="U22" s="6">
        <v>53.4997448218</v>
      </c>
    </row>
    <row r="23" spans="1:21" x14ac:dyDescent="0.25">
      <c r="A23">
        <v>21</v>
      </c>
      <c r="B23" s="6">
        <v>40.975893251700001</v>
      </c>
      <c r="C23" s="6">
        <v>34.582495372499999</v>
      </c>
      <c r="D23" s="6">
        <v>47.369291130900002</v>
      </c>
      <c r="E23" s="6">
        <v>37.938456363900002</v>
      </c>
      <c r="F23" s="6">
        <v>50.725252122299999</v>
      </c>
      <c r="G23" s="6">
        <v>9.4952262154400007</v>
      </c>
      <c r="H23" s="6">
        <v>9.4952262154400007</v>
      </c>
      <c r="I23" s="6">
        <v>9.4952262154400007</v>
      </c>
      <c r="J23" s="6">
        <v>9.4952262154400007</v>
      </c>
      <c r="K23" s="6">
        <v>9.4952262154400007</v>
      </c>
      <c r="L23" s="6">
        <v>69.181955772199998</v>
      </c>
      <c r="M23" s="6">
        <v>69.181955772199998</v>
      </c>
      <c r="N23" s="6">
        <v>69.181955772199998</v>
      </c>
      <c r="O23" s="6">
        <v>69.181955772199998</v>
      </c>
      <c r="P23" s="6">
        <v>69.181955772199998</v>
      </c>
      <c r="Q23" s="6">
        <v>50.168152379399999</v>
      </c>
      <c r="R23" s="6">
        <v>48.0105963508</v>
      </c>
      <c r="S23" s="6">
        <v>52.325708408099999</v>
      </c>
      <c r="T23" s="6">
        <v>49.143119933000001</v>
      </c>
      <c r="U23" s="6">
        <v>53.4582319903</v>
      </c>
    </row>
    <row r="24" spans="1:21" x14ac:dyDescent="0.25">
      <c r="A24">
        <v>22</v>
      </c>
      <c r="B24" s="6">
        <v>40.931870616799998</v>
      </c>
      <c r="C24" s="6">
        <v>34.563637320300003</v>
      </c>
      <c r="D24" s="6">
        <v>47.300103913400001</v>
      </c>
      <c r="E24" s="6">
        <v>37.907819900699998</v>
      </c>
      <c r="F24" s="6">
        <v>50.644286493899997</v>
      </c>
      <c r="G24" s="6">
        <v>9.4541618067800002</v>
      </c>
      <c r="H24" s="6">
        <v>9.4541618067800002</v>
      </c>
      <c r="I24" s="6">
        <v>9.4541618067800002</v>
      </c>
      <c r="J24" s="6">
        <v>9.4541618067800002</v>
      </c>
      <c r="K24" s="6">
        <v>9.4541618067800002</v>
      </c>
      <c r="L24" s="6">
        <v>69.158834447900006</v>
      </c>
      <c r="M24" s="6">
        <v>69.158834447900006</v>
      </c>
      <c r="N24" s="6">
        <v>69.158834447900006</v>
      </c>
      <c r="O24" s="6">
        <v>69.158834447900006</v>
      </c>
      <c r="P24" s="6">
        <v>69.158834447900006</v>
      </c>
      <c r="Q24" s="6">
        <v>50.135123108800002</v>
      </c>
      <c r="R24" s="6">
        <v>47.986059277599999</v>
      </c>
      <c r="S24" s="6">
        <v>52.284186939999998</v>
      </c>
      <c r="T24" s="6">
        <v>49.114608043600001</v>
      </c>
      <c r="U24" s="6">
        <v>53.412735706100001</v>
      </c>
    </row>
    <row r="25" spans="1:21" x14ac:dyDescent="0.25">
      <c r="A25">
        <v>23</v>
      </c>
      <c r="B25" s="6">
        <v>40.883150594200004</v>
      </c>
      <c r="C25" s="6">
        <v>34.540195785900004</v>
      </c>
      <c r="D25" s="6">
        <v>47.226105402400002</v>
      </c>
      <c r="E25" s="6">
        <v>37.872623564500003</v>
      </c>
      <c r="F25" s="6">
        <v>50.558533181000001</v>
      </c>
      <c r="G25" s="6">
        <v>9.4123231599199997</v>
      </c>
      <c r="H25" s="6">
        <v>9.4123231599199997</v>
      </c>
      <c r="I25" s="6">
        <v>9.4123231599199997</v>
      </c>
      <c r="J25" s="6">
        <v>9.4123231599199997</v>
      </c>
      <c r="K25" s="6">
        <v>9.4123231599199997</v>
      </c>
      <c r="L25" s="6">
        <v>69.1350257924</v>
      </c>
      <c r="M25" s="6">
        <v>69.1350257924</v>
      </c>
      <c r="N25" s="6">
        <v>69.1350257924</v>
      </c>
      <c r="O25" s="6">
        <v>69.1350257924</v>
      </c>
      <c r="P25" s="6">
        <v>69.1350257924</v>
      </c>
      <c r="Q25" s="6">
        <v>50.100039422800002</v>
      </c>
      <c r="R25" s="6">
        <v>47.959506228400002</v>
      </c>
      <c r="S25" s="6">
        <v>52.240572617300003</v>
      </c>
      <c r="T25" s="6">
        <v>49.084088145400003</v>
      </c>
      <c r="U25" s="6">
        <v>53.365154534399998</v>
      </c>
    </row>
    <row r="26" spans="1:21" x14ac:dyDescent="0.25">
      <c r="A26">
        <v>24</v>
      </c>
      <c r="B26" s="6">
        <v>40.8073759149</v>
      </c>
      <c r="C26" s="6">
        <v>34.4775599699</v>
      </c>
      <c r="D26" s="6">
        <v>47.1371918599</v>
      </c>
      <c r="E26" s="6">
        <v>37.804323851200003</v>
      </c>
      <c r="F26" s="6">
        <v>50.463955741100001</v>
      </c>
      <c r="G26" s="6">
        <v>9.3789484699999992</v>
      </c>
      <c r="H26" s="6">
        <v>9.3789484699999992</v>
      </c>
      <c r="I26" s="6">
        <v>9.3789484699999992</v>
      </c>
      <c r="J26" s="6">
        <v>9.3789484699999992</v>
      </c>
      <c r="K26" s="6">
        <v>9.3789484699999992</v>
      </c>
      <c r="L26" s="6">
        <v>69.114050028700007</v>
      </c>
      <c r="M26" s="6">
        <v>69.114050028700007</v>
      </c>
      <c r="N26" s="6">
        <v>69.114050028700007</v>
      </c>
      <c r="O26" s="6">
        <v>69.114050028700007</v>
      </c>
      <c r="P26" s="6">
        <v>69.114050028700007</v>
      </c>
      <c r="Q26" s="6">
        <v>50.058598402500003</v>
      </c>
      <c r="R26" s="6">
        <v>47.922499131000002</v>
      </c>
      <c r="S26" s="6">
        <v>52.194697673999997</v>
      </c>
      <c r="T26" s="6">
        <v>49.045169673899998</v>
      </c>
      <c r="U26" s="6">
        <v>53.3173682169</v>
      </c>
    </row>
    <row r="27" spans="1:21" x14ac:dyDescent="0.25">
      <c r="A27">
        <v>25</v>
      </c>
      <c r="B27" s="6">
        <v>40.6958454731</v>
      </c>
      <c r="C27" s="6">
        <v>34.361713034200001</v>
      </c>
      <c r="D27" s="6">
        <v>47.029977912</v>
      </c>
      <c r="E27" s="6">
        <v>37.691519613300002</v>
      </c>
      <c r="F27" s="6">
        <v>50.359784491100001</v>
      </c>
      <c r="G27" s="6">
        <v>9.3583003311299997</v>
      </c>
      <c r="H27" s="6">
        <v>9.3583003311299997</v>
      </c>
      <c r="I27" s="6">
        <v>9.3583003311299997</v>
      </c>
      <c r="J27" s="6">
        <v>9.3583003311299997</v>
      </c>
      <c r="K27" s="6">
        <v>9.3583003311299997</v>
      </c>
      <c r="L27" s="6">
        <v>69.097846022699997</v>
      </c>
      <c r="M27" s="6">
        <v>69.097846022699997</v>
      </c>
      <c r="N27" s="6">
        <v>69.097846022699997</v>
      </c>
      <c r="O27" s="6">
        <v>69.097846022699997</v>
      </c>
      <c r="P27" s="6">
        <v>69.097846022699997</v>
      </c>
      <c r="Q27" s="6">
        <v>50.009517950499998</v>
      </c>
      <c r="R27" s="6">
        <v>47.871962007999997</v>
      </c>
      <c r="S27" s="6">
        <v>52.147073892999998</v>
      </c>
      <c r="T27" s="6">
        <v>48.995659358700003</v>
      </c>
      <c r="U27" s="6">
        <v>53.270771243699997</v>
      </c>
    </row>
    <row r="28" spans="1:21" x14ac:dyDescent="0.25">
      <c r="A28">
        <v>26</v>
      </c>
      <c r="B28" s="6">
        <v>40.550557942799998</v>
      </c>
      <c r="C28" s="6">
        <v>34.1949900623</v>
      </c>
      <c r="D28" s="6">
        <v>46.906125823300002</v>
      </c>
      <c r="E28" s="6">
        <v>37.536356263899997</v>
      </c>
      <c r="F28" s="6">
        <v>50.247492024800003</v>
      </c>
      <c r="G28" s="6">
        <v>9.3504109352900002</v>
      </c>
      <c r="H28" s="6">
        <v>9.3504109352900002</v>
      </c>
      <c r="I28" s="6">
        <v>9.3504109352900002</v>
      </c>
      <c r="J28" s="6">
        <v>9.3504109352900002</v>
      </c>
      <c r="K28" s="6">
        <v>9.3504109352900002</v>
      </c>
      <c r="L28" s="6">
        <v>69.086842504000003</v>
      </c>
      <c r="M28" s="6">
        <v>69.086842504000003</v>
      </c>
      <c r="N28" s="6">
        <v>69.086842504000003</v>
      </c>
      <c r="O28" s="6">
        <v>69.086842504000003</v>
      </c>
      <c r="P28" s="6">
        <v>69.086842504000003</v>
      </c>
      <c r="Q28" s="6">
        <v>49.953693516900003</v>
      </c>
      <c r="R28" s="6">
        <v>47.808903836200003</v>
      </c>
      <c r="S28" s="6">
        <v>52.098483197599997</v>
      </c>
      <c r="T28" s="6">
        <v>48.936502169400001</v>
      </c>
      <c r="U28" s="6">
        <v>53.226081530800002</v>
      </c>
    </row>
    <row r="29" spans="1:21" x14ac:dyDescent="0.25">
      <c r="A29">
        <v>27</v>
      </c>
      <c r="B29" s="6">
        <v>40.379995991100003</v>
      </c>
      <c r="C29" s="6">
        <v>33.989814887500003</v>
      </c>
      <c r="D29" s="6">
        <v>46.770177094700003</v>
      </c>
      <c r="E29" s="6">
        <v>37.349284029700001</v>
      </c>
      <c r="F29" s="6">
        <v>50.129646236900001</v>
      </c>
      <c r="G29" s="6">
        <v>9.3525192150999992</v>
      </c>
      <c r="H29" s="6">
        <v>9.3525192150999992</v>
      </c>
      <c r="I29" s="6">
        <v>9.3525192150999992</v>
      </c>
      <c r="J29" s="6">
        <v>9.3525192150999992</v>
      </c>
      <c r="K29" s="6">
        <v>9.3525192150999992</v>
      </c>
      <c r="L29" s="6">
        <v>69.080348192900004</v>
      </c>
      <c r="M29" s="6">
        <v>69.080348192900004</v>
      </c>
      <c r="N29" s="6">
        <v>69.080348192900004</v>
      </c>
      <c r="O29" s="6">
        <v>69.080348192900004</v>
      </c>
      <c r="P29" s="6">
        <v>69.080348192900004</v>
      </c>
      <c r="Q29" s="6">
        <v>49.893200449200002</v>
      </c>
      <c r="R29" s="6">
        <v>47.736729973800003</v>
      </c>
      <c r="S29" s="6">
        <v>52.049670924600001</v>
      </c>
      <c r="T29" s="6">
        <v>48.870437438499998</v>
      </c>
      <c r="U29" s="6">
        <v>53.183378389300003</v>
      </c>
    </row>
    <row r="30" spans="1:21" x14ac:dyDescent="0.25">
      <c r="A30">
        <v>28</v>
      </c>
      <c r="B30" s="6">
        <v>40.194993193599998</v>
      </c>
      <c r="C30" s="6">
        <v>33.762458347500001</v>
      </c>
      <c r="D30" s="6">
        <v>46.627528039700003</v>
      </c>
      <c r="E30" s="6">
        <v>37.143864977600003</v>
      </c>
      <c r="F30" s="6">
        <v>50.008934669799999</v>
      </c>
      <c r="G30" s="6">
        <v>9.3606353475800006</v>
      </c>
      <c r="H30" s="6">
        <v>9.3606353475800006</v>
      </c>
      <c r="I30" s="6">
        <v>9.3606353475800006</v>
      </c>
      <c r="J30" s="6">
        <v>9.3606353475800006</v>
      </c>
      <c r="K30" s="6">
        <v>9.3606353475800006</v>
      </c>
      <c r="L30" s="6">
        <v>69.077063355899995</v>
      </c>
      <c r="M30" s="6">
        <v>69.077063355899995</v>
      </c>
      <c r="N30" s="6">
        <v>69.077063355899995</v>
      </c>
      <c r="O30" s="6">
        <v>69.077063355899995</v>
      </c>
      <c r="P30" s="6">
        <v>69.077063355899995</v>
      </c>
      <c r="Q30" s="6">
        <v>49.830405645799999</v>
      </c>
      <c r="R30" s="6">
        <v>47.659642211600001</v>
      </c>
      <c r="S30" s="6">
        <v>52.001169079999997</v>
      </c>
      <c r="T30" s="6">
        <v>48.800752838199998</v>
      </c>
      <c r="U30" s="6">
        <v>53.1422797066</v>
      </c>
    </row>
    <row r="31" spans="1:21" x14ac:dyDescent="0.25">
      <c r="A31">
        <v>29</v>
      </c>
      <c r="B31" s="6">
        <v>40.005532983499997</v>
      </c>
      <c r="C31" s="6">
        <v>33.5281343093</v>
      </c>
      <c r="D31" s="6">
        <v>46.482931657800002</v>
      </c>
      <c r="E31" s="6">
        <v>36.932713968800002</v>
      </c>
      <c r="F31" s="6">
        <v>49.887511317300003</v>
      </c>
      <c r="G31" s="6">
        <v>9.3708391320299995</v>
      </c>
      <c r="H31" s="6">
        <v>9.3708391320299995</v>
      </c>
      <c r="I31" s="6">
        <v>9.3708391320299995</v>
      </c>
      <c r="J31" s="6">
        <v>9.3708391320299995</v>
      </c>
      <c r="K31" s="6">
        <v>9.3708391320299995</v>
      </c>
      <c r="L31" s="6">
        <v>69.075555382700003</v>
      </c>
      <c r="M31" s="6">
        <v>69.075555382700003</v>
      </c>
      <c r="N31" s="6">
        <v>69.075555382700003</v>
      </c>
      <c r="O31" s="6">
        <v>69.075555382700003</v>
      </c>
      <c r="P31" s="6">
        <v>69.075555382700003</v>
      </c>
      <c r="Q31" s="6">
        <v>49.767333289699998</v>
      </c>
      <c r="R31" s="6">
        <v>47.581429827500003</v>
      </c>
      <c r="S31" s="6">
        <v>51.9532367519</v>
      </c>
      <c r="T31" s="6">
        <v>48.7303605695</v>
      </c>
      <c r="U31" s="6">
        <v>53.102167493899998</v>
      </c>
    </row>
    <row r="32" spans="1:21" x14ac:dyDescent="0.25">
      <c r="A32">
        <v>30</v>
      </c>
      <c r="B32" s="6">
        <v>39.818839924499997</v>
      </c>
      <c r="C32" s="6">
        <v>33.298016391700003</v>
      </c>
      <c r="D32" s="6">
        <v>46.339663457299999</v>
      </c>
      <c r="E32" s="6">
        <v>36.725046911600003</v>
      </c>
      <c r="F32" s="6">
        <v>49.766693977199999</v>
      </c>
      <c r="G32" s="6">
        <v>9.3801180209700004</v>
      </c>
      <c r="H32" s="6">
        <v>9.3801180209700004</v>
      </c>
      <c r="I32" s="6">
        <v>9.3801180209700004</v>
      </c>
      <c r="J32" s="6">
        <v>9.3801180209700004</v>
      </c>
      <c r="K32" s="6">
        <v>9.3801180209700004</v>
      </c>
      <c r="L32" s="6">
        <v>69.074604048200001</v>
      </c>
      <c r="M32" s="6">
        <v>69.074604048200001</v>
      </c>
      <c r="N32" s="6">
        <v>69.074604048200001</v>
      </c>
      <c r="O32" s="6">
        <v>69.074604048200001</v>
      </c>
      <c r="P32" s="6">
        <v>69.074604048200001</v>
      </c>
      <c r="Q32" s="6">
        <v>49.705327857199997</v>
      </c>
      <c r="R32" s="6">
        <v>47.504769970600002</v>
      </c>
      <c r="S32" s="6">
        <v>51.905885743699997</v>
      </c>
      <c r="T32" s="6">
        <v>48.661277120400001</v>
      </c>
      <c r="U32" s="6">
        <v>53.062392893400002</v>
      </c>
    </row>
    <row r="33" spans="1:21" x14ac:dyDescent="0.25">
      <c r="A33">
        <v>31</v>
      </c>
      <c r="B33" s="6">
        <v>39.638728174100002</v>
      </c>
      <c r="C33" s="6">
        <v>33.078156001799996</v>
      </c>
      <c r="D33" s="6">
        <v>46.199300346299999</v>
      </c>
      <c r="E33" s="6">
        <v>36.525810051699999</v>
      </c>
      <c r="F33" s="6">
        <v>49.646954396200002</v>
      </c>
      <c r="G33" s="6">
        <v>9.3867199158099996</v>
      </c>
      <c r="H33" s="6">
        <v>9.3867199158099996</v>
      </c>
      <c r="I33" s="6">
        <v>9.3867199158099996</v>
      </c>
      <c r="J33" s="6">
        <v>9.3867199158099996</v>
      </c>
      <c r="K33" s="6">
        <v>9.3867199158099996</v>
      </c>
      <c r="L33" s="6">
        <v>69.073384312599998</v>
      </c>
      <c r="M33" s="6">
        <v>69.073384312599998</v>
      </c>
      <c r="N33" s="6">
        <v>69.073384312599998</v>
      </c>
      <c r="O33" s="6">
        <v>69.073384312599998</v>
      </c>
      <c r="P33" s="6">
        <v>69.073384312599998</v>
      </c>
      <c r="Q33" s="6">
        <v>49.644982400499998</v>
      </c>
      <c r="R33" s="6">
        <v>47.431010689499999</v>
      </c>
      <c r="S33" s="6">
        <v>51.858954111499997</v>
      </c>
      <c r="T33" s="6">
        <v>48.594477584700002</v>
      </c>
      <c r="U33" s="6">
        <v>53.022421006599998</v>
      </c>
    </row>
    <row r="34" spans="1:21" x14ac:dyDescent="0.25">
      <c r="A34">
        <v>32</v>
      </c>
      <c r="B34" s="6">
        <v>39.465917764499999</v>
      </c>
      <c r="C34" s="6">
        <v>32.8698867592</v>
      </c>
      <c r="D34" s="6">
        <v>46.061948769700003</v>
      </c>
      <c r="E34" s="6">
        <v>36.336038427200002</v>
      </c>
      <c r="F34" s="6">
        <v>49.528100437699997</v>
      </c>
      <c r="G34" s="6">
        <v>9.3901096293999995</v>
      </c>
      <c r="H34" s="6">
        <v>9.3901096293999995</v>
      </c>
      <c r="I34" s="6">
        <v>9.3901096293999995</v>
      </c>
      <c r="J34" s="6">
        <v>9.3901096293999995</v>
      </c>
      <c r="K34" s="6">
        <v>9.3901096293999995</v>
      </c>
      <c r="L34" s="6">
        <v>69.071501674199993</v>
      </c>
      <c r="M34" s="6">
        <v>69.071501674199993</v>
      </c>
      <c r="N34" s="6">
        <v>69.071501674199993</v>
      </c>
      <c r="O34" s="6">
        <v>69.071501674199993</v>
      </c>
      <c r="P34" s="6">
        <v>69.071501674199993</v>
      </c>
      <c r="Q34" s="6">
        <v>49.586256154899999</v>
      </c>
      <c r="R34" s="6">
        <v>47.360318284400002</v>
      </c>
      <c r="S34" s="6">
        <v>51.812194025399997</v>
      </c>
      <c r="T34" s="6">
        <v>48.530027501500001</v>
      </c>
      <c r="U34" s="6">
        <v>52.981903242400001</v>
      </c>
    </row>
    <row r="35" spans="1:21" x14ac:dyDescent="0.25">
      <c r="A35">
        <v>33</v>
      </c>
      <c r="B35" s="6">
        <v>39.298921404600001</v>
      </c>
      <c r="C35" s="6">
        <v>32.671124116999998</v>
      </c>
      <c r="D35" s="6">
        <v>45.926718692199998</v>
      </c>
      <c r="E35" s="6">
        <v>36.1539489743</v>
      </c>
      <c r="F35" s="6">
        <v>49.4095435495</v>
      </c>
      <c r="G35" s="6">
        <v>9.3906730499699993</v>
      </c>
      <c r="H35" s="6">
        <v>9.3906730499699993</v>
      </c>
      <c r="I35" s="6">
        <v>9.3906730499699993</v>
      </c>
      <c r="J35" s="6">
        <v>9.3906730499699993</v>
      </c>
      <c r="K35" s="6">
        <v>9.3906730499699993</v>
      </c>
      <c r="L35" s="6">
        <v>69.0689223121</v>
      </c>
      <c r="M35" s="6">
        <v>69.0689223121</v>
      </c>
      <c r="N35" s="6">
        <v>69.0689223121</v>
      </c>
      <c r="O35" s="6">
        <v>69.0689223121</v>
      </c>
      <c r="P35" s="6">
        <v>69.0689223121</v>
      </c>
      <c r="Q35" s="6">
        <v>49.528691571300001</v>
      </c>
      <c r="R35" s="6">
        <v>47.292033652500002</v>
      </c>
      <c r="S35" s="6">
        <v>51.7653494901</v>
      </c>
      <c r="T35" s="6">
        <v>48.467369508300003</v>
      </c>
      <c r="U35" s="6">
        <v>52.940685345799999</v>
      </c>
    </row>
    <row r="36" spans="1:21" x14ac:dyDescent="0.25">
      <c r="A36">
        <v>34</v>
      </c>
      <c r="B36" s="6">
        <v>39.135116570500003</v>
      </c>
      <c r="C36" s="6">
        <v>32.477976245800001</v>
      </c>
      <c r="D36" s="6">
        <v>45.792256895100003</v>
      </c>
      <c r="E36" s="6">
        <v>35.976283125499997</v>
      </c>
      <c r="F36" s="6">
        <v>49.290563774799999</v>
      </c>
      <c r="G36" s="6">
        <v>9.3893189331899993</v>
      </c>
      <c r="H36" s="6">
        <v>9.3893189331899993</v>
      </c>
      <c r="I36" s="6">
        <v>9.3893189331899993</v>
      </c>
      <c r="J36" s="6">
        <v>9.3893189331899993</v>
      </c>
      <c r="K36" s="6">
        <v>9.3893189331899993</v>
      </c>
      <c r="L36" s="6">
        <v>69.065848862300001</v>
      </c>
      <c r="M36" s="6">
        <v>69.065848862300001</v>
      </c>
      <c r="N36" s="6">
        <v>69.065848862300001</v>
      </c>
      <c r="O36" s="6">
        <v>69.065848862300001</v>
      </c>
      <c r="P36" s="6">
        <v>69.065848862300001</v>
      </c>
      <c r="Q36" s="6">
        <v>49.471650222000001</v>
      </c>
      <c r="R36" s="6">
        <v>47.225090018400003</v>
      </c>
      <c r="S36" s="6">
        <v>51.718210425499997</v>
      </c>
      <c r="T36" s="6">
        <v>48.405650534199999</v>
      </c>
      <c r="U36" s="6">
        <v>52.8987709413</v>
      </c>
    </row>
    <row r="37" spans="1:21" x14ac:dyDescent="0.25">
      <c r="A37">
        <v>35</v>
      </c>
      <c r="B37" s="6">
        <v>38.9717072937</v>
      </c>
      <c r="C37" s="6">
        <v>32.286211059800003</v>
      </c>
      <c r="D37" s="6">
        <v>45.657203527599997</v>
      </c>
      <c r="E37" s="6">
        <v>35.799522895300001</v>
      </c>
      <c r="F37" s="6">
        <v>49.170515363100002</v>
      </c>
      <c r="G37" s="6">
        <v>9.3871002093999998</v>
      </c>
      <c r="H37" s="6">
        <v>9.3871002093999998</v>
      </c>
      <c r="I37" s="6">
        <v>9.3871002093999998</v>
      </c>
      <c r="J37" s="6">
        <v>9.3871002093999998</v>
      </c>
      <c r="K37" s="6">
        <v>9.3871002093999998</v>
      </c>
      <c r="L37" s="6">
        <v>69.0625873523</v>
      </c>
      <c r="M37" s="6">
        <v>69.0625873523</v>
      </c>
      <c r="N37" s="6">
        <v>69.0625873523</v>
      </c>
      <c r="O37" s="6">
        <v>69.0625873523</v>
      </c>
      <c r="P37" s="6">
        <v>69.0625873523</v>
      </c>
      <c r="Q37" s="6">
        <v>49.414510135800001</v>
      </c>
      <c r="R37" s="6">
        <v>47.158380769799997</v>
      </c>
      <c r="S37" s="6">
        <v>51.670639501799997</v>
      </c>
      <c r="T37" s="6">
        <v>48.344004951899997</v>
      </c>
      <c r="U37" s="6">
        <v>52.856263683900004</v>
      </c>
    </row>
    <row r="38" spans="1:21" x14ac:dyDescent="0.25">
      <c r="A38">
        <v>36</v>
      </c>
      <c r="B38" s="6">
        <v>38.806402782900001</v>
      </c>
      <c r="C38" s="6">
        <v>32.092307480999999</v>
      </c>
      <c r="D38" s="6">
        <v>45.520498084899998</v>
      </c>
      <c r="E38" s="6">
        <v>35.620757510700003</v>
      </c>
      <c r="F38" s="6">
        <v>49.048948114600002</v>
      </c>
      <c r="G38" s="6">
        <v>9.3849316053600003</v>
      </c>
      <c r="H38" s="6">
        <v>9.3849316053600003</v>
      </c>
      <c r="I38" s="6">
        <v>9.3849316053600003</v>
      </c>
      <c r="J38" s="6">
        <v>9.3849316053600003</v>
      </c>
      <c r="K38" s="6">
        <v>9.3849316053600003</v>
      </c>
      <c r="L38" s="6">
        <v>69.059437420600005</v>
      </c>
      <c r="M38" s="6">
        <v>69.059437420600005</v>
      </c>
      <c r="N38" s="6">
        <v>69.059437420600005</v>
      </c>
      <c r="O38" s="6">
        <v>69.059437420600005</v>
      </c>
      <c r="P38" s="6">
        <v>69.059437420600005</v>
      </c>
      <c r="Q38" s="6">
        <v>49.356794619399999</v>
      </c>
      <c r="R38" s="6">
        <v>47.091014033100002</v>
      </c>
      <c r="S38" s="6">
        <v>51.622575205799997</v>
      </c>
      <c r="T38" s="6">
        <v>48.281746844799997</v>
      </c>
      <c r="U38" s="6">
        <v>52.813308017499999</v>
      </c>
    </row>
    <row r="39" spans="1:21" x14ac:dyDescent="0.25">
      <c r="A39">
        <v>37</v>
      </c>
      <c r="B39" s="6">
        <v>38.637759036699997</v>
      </c>
      <c r="C39" s="6">
        <v>31.8939999284</v>
      </c>
      <c r="D39" s="6">
        <v>45.381518145000001</v>
      </c>
      <c r="E39" s="6">
        <v>35.438127784300001</v>
      </c>
      <c r="F39" s="6">
        <v>48.925646000999997</v>
      </c>
      <c r="G39" s="6">
        <v>9.3834334005900004</v>
      </c>
      <c r="H39" s="6">
        <v>9.3834334005900004</v>
      </c>
      <c r="I39" s="6">
        <v>9.3834334005900004</v>
      </c>
      <c r="J39" s="6">
        <v>9.3834334005900004</v>
      </c>
      <c r="K39" s="6">
        <v>9.3834334005900004</v>
      </c>
      <c r="L39" s="6">
        <v>69.056622025999999</v>
      </c>
      <c r="M39" s="6">
        <v>69.056622025999999</v>
      </c>
      <c r="N39" s="6">
        <v>69.056622025999999</v>
      </c>
      <c r="O39" s="6">
        <v>69.056622025999999</v>
      </c>
      <c r="P39" s="6">
        <v>69.056622025999999</v>
      </c>
      <c r="Q39" s="6">
        <v>49.298227296299999</v>
      </c>
      <c r="R39" s="6">
        <v>47.022436176399999</v>
      </c>
      <c r="S39" s="6">
        <v>51.5740184163</v>
      </c>
      <c r="T39" s="6">
        <v>48.218459725400002</v>
      </c>
      <c r="U39" s="6">
        <v>52.770041965300003</v>
      </c>
    </row>
    <row r="40" spans="1:21" x14ac:dyDescent="0.25">
      <c r="A40">
        <v>38</v>
      </c>
      <c r="B40" s="6">
        <v>38.465220842299999</v>
      </c>
      <c r="C40" s="6">
        <v>31.690365677599999</v>
      </c>
      <c r="D40" s="6">
        <v>45.240076006999999</v>
      </c>
      <c r="E40" s="6">
        <v>35.250891581200001</v>
      </c>
      <c r="F40" s="6">
        <v>48.800601910600001</v>
      </c>
      <c r="G40" s="6">
        <v>9.3828931926300001</v>
      </c>
      <c r="H40" s="6">
        <v>9.3828931926300001</v>
      </c>
      <c r="I40" s="6">
        <v>9.3828931926300001</v>
      </c>
      <c r="J40" s="6">
        <v>9.3828931926300001</v>
      </c>
      <c r="K40" s="6">
        <v>9.3828931926300001</v>
      </c>
      <c r="L40" s="6">
        <v>69.054258694200001</v>
      </c>
      <c r="M40" s="6">
        <v>69.054258694200001</v>
      </c>
      <c r="N40" s="6">
        <v>69.054258694200001</v>
      </c>
      <c r="O40" s="6">
        <v>69.054258694200001</v>
      </c>
      <c r="P40" s="6">
        <v>69.054258694200001</v>
      </c>
      <c r="Q40" s="6">
        <v>49.238725721199998</v>
      </c>
      <c r="R40" s="6">
        <v>46.952440731599999</v>
      </c>
      <c r="S40" s="6">
        <v>51.525010710700002</v>
      </c>
      <c r="T40" s="6">
        <v>48.153998068299998</v>
      </c>
      <c r="U40" s="6">
        <v>52.726568047500002</v>
      </c>
    </row>
    <row r="41" spans="1:21" x14ac:dyDescent="0.25">
      <c r="A41">
        <v>39</v>
      </c>
      <c r="B41" s="6">
        <v>38.288954540900001</v>
      </c>
      <c r="C41" s="6">
        <v>31.481588075000001</v>
      </c>
      <c r="D41" s="6">
        <v>45.096321006899998</v>
      </c>
      <c r="E41" s="6">
        <v>35.059222066300002</v>
      </c>
      <c r="F41" s="6">
        <v>48.673954998200003</v>
      </c>
      <c r="G41" s="6">
        <v>9.3833141304699996</v>
      </c>
      <c r="H41" s="6">
        <v>9.3833141304699996</v>
      </c>
      <c r="I41" s="6">
        <v>9.3833141304699996</v>
      </c>
      <c r="J41" s="6">
        <v>9.3833141304699996</v>
      </c>
      <c r="K41" s="6">
        <v>9.3833141304699996</v>
      </c>
      <c r="L41" s="6">
        <v>69.052364482100003</v>
      </c>
      <c r="M41" s="6">
        <v>69.052364482100003</v>
      </c>
      <c r="N41" s="6">
        <v>69.052364482100003</v>
      </c>
      <c r="O41" s="6">
        <v>69.052364482100003</v>
      </c>
      <c r="P41" s="6">
        <v>69.052364482100003</v>
      </c>
      <c r="Q41" s="6">
        <v>49.178355117000002</v>
      </c>
      <c r="R41" s="6">
        <v>46.881098660399999</v>
      </c>
      <c r="S41" s="6">
        <v>51.475611573599998</v>
      </c>
      <c r="T41" s="6">
        <v>48.088429399399999</v>
      </c>
      <c r="U41" s="6">
        <v>52.682942312599998</v>
      </c>
    </row>
    <row r="42" spans="1:21" x14ac:dyDescent="0.25">
      <c r="A42">
        <v>40</v>
      </c>
      <c r="B42" s="6">
        <v>38.109577744500001</v>
      </c>
      <c r="C42" s="6">
        <v>31.268555362600001</v>
      </c>
      <c r="D42" s="6">
        <v>44.950600126399998</v>
      </c>
      <c r="E42" s="6">
        <v>34.863871823099998</v>
      </c>
      <c r="F42" s="6">
        <v>48.545916586899999</v>
      </c>
      <c r="G42" s="6">
        <v>9.3845096030599997</v>
      </c>
      <c r="H42" s="6">
        <v>9.3845096030599997</v>
      </c>
      <c r="I42" s="6">
        <v>9.3845096030599997</v>
      </c>
      <c r="J42" s="6">
        <v>9.3845096030599997</v>
      </c>
      <c r="K42" s="6">
        <v>9.3845096030599997</v>
      </c>
      <c r="L42" s="6">
        <v>69.050882038599994</v>
      </c>
      <c r="M42" s="6">
        <v>69.050882038599994</v>
      </c>
      <c r="N42" s="6">
        <v>69.050882038599994</v>
      </c>
      <c r="O42" s="6">
        <v>69.050882038599994</v>
      </c>
      <c r="P42" s="6">
        <v>69.050882038599994</v>
      </c>
      <c r="Q42" s="6">
        <v>49.117265346499998</v>
      </c>
      <c r="R42" s="6">
        <v>46.808651154000003</v>
      </c>
      <c r="S42" s="6">
        <v>51.425879539</v>
      </c>
      <c r="T42" s="6">
        <v>48.021949129600003</v>
      </c>
      <c r="U42" s="6">
        <v>52.6391775146</v>
      </c>
    </row>
    <row r="43" spans="1:21" x14ac:dyDescent="0.25">
      <c r="A43">
        <v>41</v>
      </c>
      <c r="B43" s="6">
        <v>37.927879551300002</v>
      </c>
      <c r="C43" s="6">
        <v>31.052437836700001</v>
      </c>
      <c r="D43" s="6">
        <v>44.803321265900003</v>
      </c>
      <c r="E43" s="6">
        <v>34.665821147599999</v>
      </c>
      <c r="F43" s="6">
        <v>48.416704576800001</v>
      </c>
      <c r="G43" s="6">
        <v>9.3862076868400006</v>
      </c>
      <c r="H43" s="6">
        <v>9.3862076868400006</v>
      </c>
      <c r="I43" s="6">
        <v>9.3862076868400006</v>
      </c>
      <c r="J43" s="6">
        <v>9.3862076868400006</v>
      </c>
      <c r="K43" s="6">
        <v>9.3862076868400006</v>
      </c>
      <c r="L43" s="6">
        <v>69.049713756800003</v>
      </c>
      <c r="M43" s="6">
        <v>69.049713756800003</v>
      </c>
      <c r="N43" s="6">
        <v>69.049713756800003</v>
      </c>
      <c r="O43" s="6">
        <v>69.049713756800003</v>
      </c>
      <c r="P43" s="6">
        <v>69.049713756800003</v>
      </c>
      <c r="Q43" s="6">
        <v>49.055630305100003</v>
      </c>
      <c r="R43" s="6">
        <v>46.735400749299998</v>
      </c>
      <c r="S43" s="6">
        <v>51.375859860799999</v>
      </c>
      <c r="T43" s="6">
        <v>47.954795677299998</v>
      </c>
      <c r="U43" s="6">
        <v>52.595254788699997</v>
      </c>
    </row>
    <row r="44" spans="1:21" x14ac:dyDescent="0.25">
      <c r="A44">
        <v>42</v>
      </c>
      <c r="B44" s="6">
        <v>37.744595848700001</v>
      </c>
      <c r="C44" s="6">
        <v>30.834343394899999</v>
      </c>
      <c r="D44" s="6">
        <v>44.6548483025</v>
      </c>
      <c r="E44" s="6">
        <v>34.465993007100003</v>
      </c>
      <c r="F44" s="6">
        <v>48.2864979147</v>
      </c>
      <c r="G44" s="6">
        <v>9.3881389906300008</v>
      </c>
      <c r="H44" s="6">
        <v>9.3881389906300008</v>
      </c>
      <c r="I44" s="6">
        <v>9.3881389906300008</v>
      </c>
      <c r="J44" s="6">
        <v>9.3881389906300008</v>
      </c>
      <c r="K44" s="6">
        <v>9.3881389906300008</v>
      </c>
      <c r="L44" s="6">
        <v>69.048753659599996</v>
      </c>
      <c r="M44" s="6">
        <v>69.048753659599996</v>
      </c>
      <c r="N44" s="6">
        <v>69.048753659599996</v>
      </c>
      <c r="O44" s="6">
        <v>69.048753659599996</v>
      </c>
      <c r="P44" s="6">
        <v>69.048753659599996</v>
      </c>
      <c r="Q44" s="6">
        <v>48.9936021197</v>
      </c>
      <c r="R44" s="6">
        <v>46.661625114300001</v>
      </c>
      <c r="S44" s="6">
        <v>51.325579125200001</v>
      </c>
      <c r="T44" s="6">
        <v>47.887184302500003</v>
      </c>
      <c r="U44" s="6">
        <v>52.551138313400003</v>
      </c>
    </row>
    <row r="45" spans="1:21" x14ac:dyDescent="0.25">
      <c r="A45">
        <v>43</v>
      </c>
      <c r="B45" s="6">
        <v>37.560270745899999</v>
      </c>
      <c r="C45" s="6">
        <v>30.615101056299999</v>
      </c>
      <c r="D45" s="6">
        <v>44.505440435499999</v>
      </c>
      <c r="E45" s="6">
        <v>34.265075102499999</v>
      </c>
      <c r="F45" s="6">
        <v>48.155414481699999</v>
      </c>
      <c r="G45" s="6">
        <v>9.3900941739300006</v>
      </c>
      <c r="H45" s="6">
        <v>9.3900941739300006</v>
      </c>
      <c r="I45" s="6">
        <v>9.3900941739300006</v>
      </c>
      <c r="J45" s="6">
        <v>9.3900941739300006</v>
      </c>
      <c r="K45" s="6">
        <v>9.3900941739300006</v>
      </c>
      <c r="L45" s="6">
        <v>69.0479106879</v>
      </c>
      <c r="M45" s="6">
        <v>69.0479106879</v>
      </c>
      <c r="N45" s="6">
        <v>69.0479106879</v>
      </c>
      <c r="O45" s="6">
        <v>69.0479106879</v>
      </c>
      <c r="P45" s="6">
        <v>69.0479106879</v>
      </c>
      <c r="Q45" s="6">
        <v>48.931285262599999</v>
      </c>
      <c r="R45" s="6">
        <v>46.587524868400003</v>
      </c>
      <c r="S45" s="6">
        <v>51.275045656800003</v>
      </c>
      <c r="T45" s="6">
        <v>47.819267934700001</v>
      </c>
      <c r="U45" s="6">
        <v>52.506788723100001</v>
      </c>
    </row>
    <row r="46" spans="1:21" x14ac:dyDescent="0.25">
      <c r="A46">
        <v>44</v>
      </c>
      <c r="B46" s="6">
        <v>37.375205941700003</v>
      </c>
      <c r="C46" s="6">
        <v>30.395177439800001</v>
      </c>
      <c r="D46" s="6">
        <v>44.355234443599997</v>
      </c>
      <c r="E46" s="6">
        <v>34.063452503800001</v>
      </c>
      <c r="F46" s="6">
        <v>48.023509507599996</v>
      </c>
      <c r="G46" s="6">
        <v>9.3919487664899997</v>
      </c>
      <c r="H46" s="6">
        <v>9.3919487664899997</v>
      </c>
      <c r="I46" s="6">
        <v>9.3919487664899997</v>
      </c>
      <c r="J46" s="6">
        <v>9.3919487664899997</v>
      </c>
      <c r="K46" s="6">
        <v>9.3919487664899997</v>
      </c>
      <c r="L46" s="6">
        <v>69.047121127200001</v>
      </c>
      <c r="M46" s="6">
        <v>69.047121127200001</v>
      </c>
      <c r="N46" s="6">
        <v>69.047121127200001</v>
      </c>
      <c r="O46" s="6">
        <v>69.047121127200001</v>
      </c>
      <c r="P46" s="6">
        <v>69.047121127200001</v>
      </c>
      <c r="Q46" s="6">
        <v>48.868729668699999</v>
      </c>
      <c r="R46" s="6">
        <v>46.513205601700001</v>
      </c>
      <c r="S46" s="6">
        <v>51.224253735600001</v>
      </c>
      <c r="T46" s="6">
        <v>47.751124643899999</v>
      </c>
      <c r="U46" s="6">
        <v>52.462172777799999</v>
      </c>
    </row>
    <row r="47" spans="1:21" x14ac:dyDescent="0.25">
      <c r="A47">
        <v>45</v>
      </c>
      <c r="B47" s="6">
        <v>37.189479911900001</v>
      </c>
      <c r="C47" s="6">
        <v>30.174700317100001</v>
      </c>
      <c r="D47" s="6">
        <v>44.204259506699998</v>
      </c>
      <c r="E47" s="6">
        <v>33.861228880100001</v>
      </c>
      <c r="F47" s="6">
        <v>47.890788069800003</v>
      </c>
      <c r="G47" s="6">
        <v>9.3936609227200005</v>
      </c>
      <c r="H47" s="6">
        <v>9.3936609227200005</v>
      </c>
      <c r="I47" s="6">
        <v>9.3936609227200005</v>
      </c>
      <c r="J47" s="6">
        <v>9.3936609227200005</v>
      </c>
      <c r="K47" s="6">
        <v>9.3936609227200005</v>
      </c>
      <c r="L47" s="6">
        <v>69.046351078800001</v>
      </c>
      <c r="M47" s="6">
        <v>69.046351078800001</v>
      </c>
      <c r="N47" s="6">
        <v>69.046351078800001</v>
      </c>
      <c r="O47" s="6">
        <v>69.046351078800001</v>
      </c>
      <c r="P47" s="6">
        <v>69.046351078800001</v>
      </c>
      <c r="Q47" s="6">
        <v>48.805938097499997</v>
      </c>
      <c r="R47" s="6">
        <v>46.438686709300001</v>
      </c>
      <c r="S47" s="6">
        <v>51.173189485599998</v>
      </c>
      <c r="T47" s="6">
        <v>47.682765691500002</v>
      </c>
      <c r="U47" s="6">
        <v>52.417268467699998</v>
      </c>
    </row>
    <row r="48" spans="1:21" x14ac:dyDescent="0.25">
      <c r="A48">
        <v>46</v>
      </c>
      <c r="B48" s="6">
        <v>37.003009480700001</v>
      </c>
      <c r="C48" s="6">
        <v>29.9535484391</v>
      </c>
      <c r="D48" s="6">
        <v>44.052470522199997</v>
      </c>
      <c r="E48" s="6">
        <v>33.658302186699999</v>
      </c>
      <c r="F48" s="6">
        <v>47.757224269699996</v>
      </c>
      <c r="G48" s="6">
        <v>9.3952517887999996</v>
      </c>
      <c r="H48" s="6">
        <v>9.3952517887999996</v>
      </c>
      <c r="I48" s="6">
        <v>9.3952517887999996</v>
      </c>
      <c r="J48" s="6">
        <v>9.3952517887999996</v>
      </c>
      <c r="K48" s="6">
        <v>9.3952517887999996</v>
      </c>
      <c r="L48" s="6">
        <v>69.045591775199995</v>
      </c>
      <c r="M48" s="6">
        <v>69.045591775199995</v>
      </c>
      <c r="N48" s="6">
        <v>69.045591775199995</v>
      </c>
      <c r="O48" s="6">
        <v>69.045591775199995</v>
      </c>
      <c r="P48" s="6">
        <v>69.045591775199995</v>
      </c>
      <c r="Q48" s="6">
        <v>48.742881429999997</v>
      </c>
      <c r="R48" s="6">
        <v>46.363926223999997</v>
      </c>
      <c r="S48" s="6">
        <v>51.121836635999998</v>
      </c>
      <c r="T48" s="6">
        <v>47.614155590899998</v>
      </c>
      <c r="U48" s="6">
        <v>52.372066002899999</v>
      </c>
    </row>
    <row r="49" spans="1:21" x14ac:dyDescent="0.25">
      <c r="A49">
        <v>47</v>
      </c>
      <c r="B49" s="6">
        <v>36.815626147899998</v>
      </c>
      <c r="C49" s="6">
        <v>29.731465845399999</v>
      </c>
      <c r="D49" s="6">
        <v>43.899786450299999</v>
      </c>
      <c r="E49" s="6">
        <v>33.454460060300001</v>
      </c>
      <c r="F49" s="6">
        <v>47.622780665199997</v>
      </c>
      <c r="G49" s="6">
        <v>9.3967787041200008</v>
      </c>
      <c r="H49" s="6">
        <v>9.3967787041200008</v>
      </c>
      <c r="I49" s="6">
        <v>9.3967787041200008</v>
      </c>
      <c r="J49" s="6">
        <v>9.3967787041200008</v>
      </c>
      <c r="K49" s="6">
        <v>9.3967787041200008</v>
      </c>
      <c r="L49" s="6">
        <v>69.044851172099996</v>
      </c>
      <c r="M49" s="6">
        <v>69.044851172099996</v>
      </c>
      <c r="N49" s="6">
        <v>69.044851172099996</v>
      </c>
      <c r="O49" s="6">
        <v>69.044851172099996</v>
      </c>
      <c r="P49" s="6">
        <v>69.044851172099996</v>
      </c>
      <c r="Q49" s="6">
        <v>48.679515930299999</v>
      </c>
      <c r="R49" s="6">
        <v>46.288850894699998</v>
      </c>
      <c r="S49" s="6">
        <v>51.070180965799999</v>
      </c>
      <c r="T49" s="6">
        <v>47.545235803700002</v>
      </c>
      <c r="U49" s="6">
        <v>52.326565874899998</v>
      </c>
    </row>
    <row r="50" spans="1:21" x14ac:dyDescent="0.25">
      <c r="A50">
        <v>48</v>
      </c>
      <c r="B50" s="6">
        <v>36.6271454918</v>
      </c>
      <c r="C50" s="6">
        <v>29.508167392200001</v>
      </c>
      <c r="D50" s="6">
        <v>43.746123591500002</v>
      </c>
      <c r="E50" s="6">
        <v>33.249467403200001</v>
      </c>
      <c r="F50" s="6">
        <v>47.487423602600003</v>
      </c>
      <c r="G50" s="6">
        <v>9.3983095704400004</v>
      </c>
      <c r="H50" s="6">
        <v>9.3983095704400004</v>
      </c>
      <c r="I50" s="6">
        <v>9.3983095704400004</v>
      </c>
      <c r="J50" s="6">
        <v>9.3983095704400004</v>
      </c>
      <c r="K50" s="6">
        <v>9.3983095704400004</v>
      </c>
      <c r="L50" s="6">
        <v>69.044144906200003</v>
      </c>
      <c r="M50" s="6">
        <v>69.044144906200003</v>
      </c>
      <c r="N50" s="6">
        <v>69.044144906200003</v>
      </c>
      <c r="O50" s="6">
        <v>69.044144906200003</v>
      </c>
      <c r="P50" s="6">
        <v>69.044144906200003</v>
      </c>
      <c r="Q50" s="6">
        <v>48.615798036599998</v>
      </c>
      <c r="R50" s="6">
        <v>46.213383169499998</v>
      </c>
      <c r="S50" s="6">
        <v>51.018212903799999</v>
      </c>
      <c r="T50" s="6">
        <v>47.475945666900003</v>
      </c>
      <c r="U50" s="6">
        <v>52.280775401200003</v>
      </c>
    </row>
    <row r="51" spans="1:21" x14ac:dyDescent="0.25">
      <c r="A51">
        <v>49</v>
      </c>
      <c r="B51" s="6">
        <v>36.437416696299998</v>
      </c>
      <c r="C51" s="6">
        <v>29.283415231399999</v>
      </c>
      <c r="D51" s="6">
        <v>43.591418161100002</v>
      </c>
      <c r="E51" s="6">
        <v>33.043129506900002</v>
      </c>
      <c r="F51" s="6">
        <v>47.351132436599997</v>
      </c>
      <c r="G51" s="6">
        <v>9.3999036386399997</v>
      </c>
      <c r="H51" s="6">
        <v>9.3999036386399997</v>
      </c>
      <c r="I51" s="6">
        <v>9.3999036386399997</v>
      </c>
      <c r="J51" s="6">
        <v>9.3999036386399997</v>
      </c>
      <c r="K51" s="6">
        <v>9.3999036386399997</v>
      </c>
      <c r="L51" s="6">
        <v>69.043488805099997</v>
      </c>
      <c r="M51" s="6">
        <v>69.043488805099997</v>
      </c>
      <c r="N51" s="6">
        <v>69.043488805099997</v>
      </c>
      <c r="O51" s="6">
        <v>69.043488805099997</v>
      </c>
      <c r="P51" s="6">
        <v>69.043488805099997</v>
      </c>
      <c r="Q51" s="6">
        <v>48.5516942478</v>
      </c>
      <c r="R51" s="6">
        <v>46.137460176799998</v>
      </c>
      <c r="S51" s="6">
        <v>50.965928318800003</v>
      </c>
      <c r="T51" s="6">
        <v>47.406236867099999</v>
      </c>
      <c r="U51" s="6">
        <v>52.234705009099997</v>
      </c>
    </row>
    <row r="52" spans="1:21" x14ac:dyDescent="0.25">
      <c r="A52">
        <v>50</v>
      </c>
      <c r="B52" s="6">
        <v>36.246347928100001</v>
      </c>
      <c r="C52" s="6">
        <v>29.057059103699999</v>
      </c>
      <c r="D52" s="6">
        <v>43.435636752400001</v>
      </c>
      <c r="E52" s="6">
        <v>32.835324982000003</v>
      </c>
      <c r="F52" s="6">
        <v>47.213902630699998</v>
      </c>
      <c r="G52" s="6">
        <v>9.4016007683900007</v>
      </c>
      <c r="H52" s="6">
        <v>9.4016007683900007</v>
      </c>
      <c r="I52" s="6">
        <v>9.4016007683900007</v>
      </c>
      <c r="J52" s="6">
        <v>9.4016007683900007</v>
      </c>
      <c r="K52" s="6">
        <v>9.4016007683900007</v>
      </c>
      <c r="L52" s="6">
        <v>69.042894052099996</v>
      </c>
      <c r="M52" s="6">
        <v>69.042894052099996</v>
      </c>
      <c r="N52" s="6">
        <v>69.042894052099996</v>
      </c>
      <c r="O52" s="6">
        <v>69.042894052099996</v>
      </c>
      <c r="P52" s="6">
        <v>69.042894052099996</v>
      </c>
      <c r="Q52" s="6">
        <v>48.487185544699997</v>
      </c>
      <c r="R52" s="6">
        <v>46.061043180699997</v>
      </c>
      <c r="S52" s="6">
        <v>50.913327908699998</v>
      </c>
      <c r="T52" s="6">
        <v>47.336080410900003</v>
      </c>
      <c r="U52" s="6">
        <v>52.188365138800002</v>
      </c>
    </row>
    <row r="53" spans="1:21" x14ac:dyDescent="0.25">
      <c r="A53">
        <v>51</v>
      </c>
      <c r="B53" s="6">
        <v>36.053910024700002</v>
      </c>
      <c r="C53" s="6">
        <v>28.8290436391</v>
      </c>
      <c r="D53" s="6">
        <v>43.278776410200003</v>
      </c>
      <c r="E53" s="6">
        <v>32.626011309799999</v>
      </c>
      <c r="F53" s="6">
        <v>47.0757440808</v>
      </c>
      <c r="G53" s="6">
        <v>9.4034186507499999</v>
      </c>
      <c r="H53" s="6">
        <v>9.4034186507499999</v>
      </c>
      <c r="I53" s="6">
        <v>9.4034186507499999</v>
      </c>
      <c r="J53" s="6">
        <v>9.4034186507499999</v>
      </c>
      <c r="K53" s="6">
        <v>9.4034186507499999</v>
      </c>
      <c r="L53" s="6">
        <v>69.0423651535</v>
      </c>
      <c r="M53" s="6">
        <v>69.0423651535</v>
      </c>
      <c r="N53" s="6">
        <v>69.0423651535</v>
      </c>
      <c r="O53" s="6">
        <v>69.0423651535</v>
      </c>
      <c r="P53" s="6">
        <v>69.0423651535</v>
      </c>
      <c r="Q53" s="6">
        <v>48.422267168700003</v>
      </c>
      <c r="R53" s="6">
        <v>45.984118578500002</v>
      </c>
      <c r="S53" s="6">
        <v>50.860415758999999</v>
      </c>
      <c r="T53" s="6">
        <v>47.265467032399997</v>
      </c>
      <c r="U53" s="6">
        <v>52.141764213000002</v>
      </c>
    </row>
    <row r="54" spans="1:21" x14ac:dyDescent="0.25">
      <c r="A54">
        <v>52</v>
      </c>
      <c r="B54" s="6">
        <v>35.860124902000003</v>
      </c>
      <c r="C54" s="6">
        <v>28.599392051399999</v>
      </c>
      <c r="D54" s="6">
        <v>43.120857752600003</v>
      </c>
      <c r="E54" s="6">
        <v>32.415210912500001</v>
      </c>
      <c r="F54" s="6">
        <v>46.9366766136</v>
      </c>
      <c r="G54" s="6">
        <v>9.4053559010299992</v>
      </c>
      <c r="H54" s="6">
        <v>9.4053559010299992</v>
      </c>
      <c r="I54" s="6">
        <v>9.4053559010299992</v>
      </c>
      <c r="J54" s="6">
        <v>9.4053559010299992</v>
      </c>
      <c r="K54" s="6">
        <v>9.4053559010299992</v>
      </c>
      <c r="L54" s="6">
        <v>69.041900187400003</v>
      </c>
      <c r="M54" s="6">
        <v>69.041900187400003</v>
      </c>
      <c r="N54" s="6">
        <v>69.041900187400003</v>
      </c>
      <c r="O54" s="6">
        <v>69.041900187400003</v>
      </c>
      <c r="P54" s="6">
        <v>69.041900187400003</v>
      </c>
      <c r="Q54" s="6">
        <v>48.356945328099997</v>
      </c>
      <c r="R54" s="6">
        <v>45.906693016299997</v>
      </c>
      <c r="S54" s="6">
        <v>50.807197639999998</v>
      </c>
      <c r="T54" s="6">
        <v>47.194403110899998</v>
      </c>
      <c r="U54" s="6">
        <v>52.0949077346</v>
      </c>
    </row>
    <row r="55" spans="1:21" x14ac:dyDescent="0.25">
      <c r="A55">
        <v>53</v>
      </c>
      <c r="B55" s="6">
        <v>35.665046324800002</v>
      </c>
      <c r="C55" s="6">
        <v>28.368177681100001</v>
      </c>
      <c r="D55" s="6">
        <v>42.961914968499997</v>
      </c>
      <c r="E55" s="6">
        <v>32.202987299299998</v>
      </c>
      <c r="F55" s="6">
        <v>46.796724586800003</v>
      </c>
      <c r="G55" s="6">
        <v>9.4073983452499998</v>
      </c>
      <c r="H55" s="6">
        <v>9.4073983452499998</v>
      </c>
      <c r="I55" s="6">
        <v>9.4073983452499998</v>
      </c>
      <c r="J55" s="6">
        <v>9.4073983452499998</v>
      </c>
      <c r="K55" s="6">
        <v>9.4073983452499998</v>
      </c>
      <c r="L55" s="6">
        <v>69.041492493199996</v>
      </c>
      <c r="M55" s="6">
        <v>69.041492493199996</v>
      </c>
      <c r="N55" s="6">
        <v>69.041492493199996</v>
      </c>
      <c r="O55" s="6">
        <v>69.041492493199996</v>
      </c>
      <c r="P55" s="6">
        <v>69.041492493199996</v>
      </c>
      <c r="Q55" s="6">
        <v>48.291232558399997</v>
      </c>
      <c r="R55" s="6">
        <v>45.828785635800003</v>
      </c>
      <c r="S55" s="6">
        <v>50.753679480999999</v>
      </c>
      <c r="T55" s="6">
        <v>47.122904470100003</v>
      </c>
      <c r="U55" s="6">
        <v>52.047798315199998</v>
      </c>
    </row>
    <row r="56" spans="1:21" x14ac:dyDescent="0.25">
      <c r="A56">
        <v>54</v>
      </c>
      <c r="B56" s="6">
        <v>35.468739820300001</v>
      </c>
      <c r="C56" s="6">
        <v>28.135493703400002</v>
      </c>
      <c r="D56" s="6">
        <v>42.801985937200001</v>
      </c>
      <c r="E56" s="6">
        <v>31.989419849600001</v>
      </c>
      <c r="F56" s="6">
        <v>46.655912083399997</v>
      </c>
      <c r="G56" s="6">
        <v>9.4095260279000001</v>
      </c>
      <c r="H56" s="6">
        <v>9.4095260279000001</v>
      </c>
      <c r="I56" s="6">
        <v>9.4095260279000001</v>
      </c>
      <c r="J56" s="6">
        <v>9.4095260279000001</v>
      </c>
      <c r="K56" s="6">
        <v>9.4095260279000001</v>
      </c>
      <c r="L56" s="6">
        <v>69.041132924300001</v>
      </c>
      <c r="M56" s="6">
        <v>69.041132924300001</v>
      </c>
      <c r="N56" s="6">
        <v>69.041132924300001</v>
      </c>
      <c r="O56" s="6">
        <v>69.041132924300001</v>
      </c>
      <c r="P56" s="6">
        <v>69.041132924300001</v>
      </c>
      <c r="Q56" s="6">
        <v>48.225143193500003</v>
      </c>
      <c r="R56" s="6">
        <v>45.750420101300001</v>
      </c>
      <c r="S56" s="6">
        <v>50.699866285600002</v>
      </c>
      <c r="T56" s="6">
        <v>47.0509901187</v>
      </c>
      <c r="U56" s="6">
        <v>52.000436303000001</v>
      </c>
    </row>
    <row r="57" spans="1:21" x14ac:dyDescent="0.25">
      <c r="A57">
        <v>55</v>
      </c>
      <c r="B57" s="6">
        <v>35.271266451199999</v>
      </c>
      <c r="C57" s="6">
        <v>27.9014282893</v>
      </c>
      <c r="D57" s="6">
        <v>42.641104613099998</v>
      </c>
      <c r="E57" s="6">
        <v>31.774583246199999</v>
      </c>
      <c r="F57" s="6">
        <v>46.514259569899998</v>
      </c>
      <c r="G57" s="6">
        <v>9.4117191492399996</v>
      </c>
      <c r="H57" s="6">
        <v>9.4117191492399996</v>
      </c>
      <c r="I57" s="6">
        <v>9.4117191492399996</v>
      </c>
      <c r="J57" s="6">
        <v>9.4117191492399996</v>
      </c>
      <c r="K57" s="6">
        <v>9.4117191492399996</v>
      </c>
      <c r="L57" s="6">
        <v>69.040811968900002</v>
      </c>
      <c r="M57" s="6">
        <v>69.040811968900002</v>
      </c>
      <c r="N57" s="6">
        <v>69.040811968900002</v>
      </c>
      <c r="O57" s="6">
        <v>69.040811968900002</v>
      </c>
      <c r="P57" s="6">
        <v>69.040811968900002</v>
      </c>
      <c r="Q57" s="6">
        <v>48.158689901300001</v>
      </c>
      <c r="R57" s="6">
        <v>45.6716182288</v>
      </c>
      <c r="S57" s="6">
        <v>50.6457615737</v>
      </c>
      <c r="T57" s="6">
        <v>46.978677320800003</v>
      </c>
      <c r="U57" s="6">
        <v>51.952820665700003</v>
      </c>
    </row>
    <row r="58" spans="1:21" x14ac:dyDescent="0.25">
      <c r="A58">
        <v>56</v>
      </c>
      <c r="B58" s="6">
        <v>35.072672746999999</v>
      </c>
      <c r="C58" s="6">
        <v>27.6660488829</v>
      </c>
      <c r="D58" s="6">
        <v>42.479296611000002</v>
      </c>
      <c r="E58" s="6">
        <v>31.558534549499999</v>
      </c>
      <c r="F58" s="6">
        <v>46.371782277599998</v>
      </c>
      <c r="G58" s="6">
        <v>9.4139619844000002</v>
      </c>
      <c r="H58" s="6">
        <v>9.4139619844000002</v>
      </c>
      <c r="I58" s="6">
        <v>9.4139619844000002</v>
      </c>
      <c r="J58" s="6">
        <v>9.4139619844000002</v>
      </c>
      <c r="K58" s="6">
        <v>9.4139619844000002</v>
      </c>
      <c r="L58" s="6">
        <v>69.040521303700004</v>
      </c>
      <c r="M58" s="6">
        <v>69.040521303700004</v>
      </c>
      <c r="N58" s="6">
        <v>69.040521303700004</v>
      </c>
      <c r="O58" s="6">
        <v>69.040521303700004</v>
      </c>
      <c r="P58" s="6">
        <v>69.040521303700004</v>
      </c>
      <c r="Q58" s="6">
        <v>48.091881692000001</v>
      </c>
      <c r="R58" s="6">
        <v>45.592396086500003</v>
      </c>
      <c r="S58" s="6">
        <v>50.591367297600002</v>
      </c>
      <c r="T58" s="6">
        <v>46.905978640699999</v>
      </c>
      <c r="U58" s="6">
        <v>51.904949851799998</v>
      </c>
    </row>
    <row r="59" spans="1:21" x14ac:dyDescent="0.25">
      <c r="A59">
        <v>57</v>
      </c>
      <c r="B59" s="6">
        <v>34.872986972600003</v>
      </c>
      <c r="C59" s="6">
        <v>27.429396034</v>
      </c>
      <c r="D59" s="6">
        <v>42.3165779112</v>
      </c>
      <c r="E59" s="6">
        <v>31.341308227599999</v>
      </c>
      <c r="F59" s="6">
        <v>46.228490104700001</v>
      </c>
      <c r="G59" s="6">
        <v>9.4162446035199991</v>
      </c>
      <c r="H59" s="6">
        <v>9.4162446035199991</v>
      </c>
      <c r="I59" s="6">
        <v>9.4162446035199991</v>
      </c>
      <c r="J59" s="6">
        <v>9.4162446035199991</v>
      </c>
      <c r="K59" s="6">
        <v>9.4162446035199991</v>
      </c>
      <c r="L59" s="6">
        <v>69.040254625200006</v>
      </c>
      <c r="M59" s="6">
        <v>69.040254625200006</v>
      </c>
      <c r="N59" s="6">
        <v>69.040254625200006</v>
      </c>
      <c r="O59" s="6">
        <v>69.040254625200006</v>
      </c>
      <c r="P59" s="6">
        <v>69.040254625200006</v>
      </c>
      <c r="Q59" s="6">
        <v>48.0247233511</v>
      </c>
      <c r="R59" s="6">
        <v>45.512762605399999</v>
      </c>
      <c r="S59" s="6">
        <v>50.536684096800002</v>
      </c>
      <c r="T59" s="6">
        <v>46.832900956899998</v>
      </c>
      <c r="U59" s="6">
        <v>51.856822448300001</v>
      </c>
    </row>
    <row r="60" spans="1:21" x14ac:dyDescent="0.25">
      <c r="A60">
        <v>58</v>
      </c>
      <c r="B60" s="6">
        <v>34.6722204617</v>
      </c>
      <c r="C60" s="6">
        <v>27.1914849791</v>
      </c>
      <c r="D60" s="6">
        <v>42.152955944299997</v>
      </c>
      <c r="E60" s="6">
        <v>31.122917602699999</v>
      </c>
      <c r="F60" s="6">
        <v>46.0843885679</v>
      </c>
      <c r="G60" s="6">
        <v>9.4185627578699993</v>
      </c>
      <c r="H60" s="6">
        <v>9.4185627578699993</v>
      </c>
      <c r="I60" s="6">
        <v>9.4185627578699993</v>
      </c>
      <c r="J60" s="6">
        <v>9.4185627578699993</v>
      </c>
      <c r="K60" s="6">
        <v>9.4185627578699993</v>
      </c>
      <c r="L60" s="6">
        <v>69.040007811600006</v>
      </c>
      <c r="M60" s="6">
        <v>69.040007811600006</v>
      </c>
      <c r="N60" s="6">
        <v>69.040007811600006</v>
      </c>
      <c r="O60" s="6">
        <v>69.040007811600006</v>
      </c>
      <c r="P60" s="6">
        <v>69.040007811600006</v>
      </c>
      <c r="Q60" s="6">
        <v>47.957215952200002</v>
      </c>
      <c r="R60" s="6">
        <v>45.432720176399997</v>
      </c>
      <c r="S60" s="6">
        <v>50.481711728000001</v>
      </c>
      <c r="T60" s="6">
        <v>46.759446014200002</v>
      </c>
      <c r="U60" s="6">
        <v>51.808437565799998</v>
      </c>
    </row>
    <row r="61" spans="1:21" x14ac:dyDescent="0.25">
      <c r="A61">
        <v>59</v>
      </c>
      <c r="B61" s="6">
        <v>34.4703720487</v>
      </c>
      <c r="C61" s="6">
        <v>26.9523120574</v>
      </c>
      <c r="D61" s="6">
        <v>41.988432039999999</v>
      </c>
      <c r="E61" s="6">
        <v>30.903360273699999</v>
      </c>
      <c r="F61" s="6">
        <v>45.939480256300001</v>
      </c>
      <c r="G61" s="6">
        <v>9.4209165776500008</v>
      </c>
      <c r="H61" s="6">
        <v>9.4209165776500008</v>
      </c>
      <c r="I61" s="6">
        <v>9.4209165776500008</v>
      </c>
      <c r="J61" s="6">
        <v>9.4209165776500008</v>
      </c>
      <c r="K61" s="6">
        <v>9.4209165776500008</v>
      </c>
      <c r="L61" s="6">
        <v>69.039778601899997</v>
      </c>
      <c r="M61" s="6">
        <v>69.039778601899997</v>
      </c>
      <c r="N61" s="6">
        <v>69.039778601899997</v>
      </c>
      <c r="O61" s="6">
        <v>69.039778601899997</v>
      </c>
      <c r="P61" s="6">
        <v>69.039778601899997</v>
      </c>
      <c r="Q61" s="6">
        <v>47.889357984199997</v>
      </c>
      <c r="R61" s="6">
        <v>45.3522664463</v>
      </c>
      <c r="S61" s="6">
        <v>50.4264495221</v>
      </c>
      <c r="T61" s="6">
        <v>46.685611884700002</v>
      </c>
      <c r="U61" s="6">
        <v>51.759794960599997</v>
      </c>
    </row>
    <row r="62" spans="1:21" x14ac:dyDescent="0.25">
      <c r="A62">
        <v>60</v>
      </c>
      <c r="B62" s="6">
        <v>34.267433605999997</v>
      </c>
      <c r="C62" s="6">
        <v>26.711862956499999</v>
      </c>
      <c r="D62" s="6">
        <v>41.823004255599997</v>
      </c>
      <c r="E62" s="6">
        <v>30.682625012799999</v>
      </c>
      <c r="F62" s="6">
        <v>45.793766311900001</v>
      </c>
      <c r="G62" s="6">
        <v>9.4233087698899993</v>
      </c>
      <c r="H62" s="6">
        <v>9.4233087698899993</v>
      </c>
      <c r="I62" s="6">
        <v>9.4233087698899993</v>
      </c>
      <c r="J62" s="6">
        <v>9.4233087698899993</v>
      </c>
      <c r="K62" s="6">
        <v>9.4233087698899993</v>
      </c>
      <c r="L62" s="6">
        <v>69.039566020899997</v>
      </c>
      <c r="M62" s="6">
        <v>69.039566020899997</v>
      </c>
      <c r="N62" s="6">
        <v>69.039566020899997</v>
      </c>
      <c r="O62" s="6">
        <v>69.039566020899997</v>
      </c>
      <c r="P62" s="6">
        <v>69.039566020899997</v>
      </c>
      <c r="Q62" s="6">
        <v>47.821146644199999</v>
      </c>
      <c r="R62" s="6">
        <v>45.271396525</v>
      </c>
      <c r="S62" s="6">
        <v>50.370896763399998</v>
      </c>
      <c r="T62" s="6">
        <v>46.6113947192</v>
      </c>
      <c r="U62" s="6">
        <v>51.710894957599997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2FAE-207F-4980-B9C2-E1CBDB08CEB5}">
  <dimension ref="A1:W23"/>
  <sheetViews>
    <sheetView zoomScaleNormal="100" workbookViewId="0">
      <selection activeCell="G11" sqref="G11"/>
    </sheetView>
  </sheetViews>
  <sheetFormatPr baseColWidth="10" defaultRowHeight="15" x14ac:dyDescent="0.25"/>
  <cols>
    <col min="1" max="1" width="12.28515625" bestFit="1" customWidth="1"/>
    <col min="2" max="2" width="15.42578125" bestFit="1" customWidth="1"/>
    <col min="3" max="3" width="14.42578125" customWidth="1"/>
    <col min="4" max="4" width="10.140625" bestFit="1" customWidth="1"/>
    <col min="5" max="7" width="9.85546875" bestFit="1" customWidth="1"/>
    <col min="8" max="8" width="17.28515625" bestFit="1" customWidth="1"/>
    <col min="9" max="9" width="22.140625" bestFit="1" customWidth="1"/>
    <col min="10" max="10" width="17.28515625" bestFit="1" customWidth="1"/>
    <col min="11" max="11" width="15.42578125" bestFit="1" customWidth="1"/>
    <col min="12" max="12" width="12.42578125" bestFit="1" customWidth="1"/>
    <col min="13" max="13" width="16" bestFit="1" customWidth="1"/>
    <col min="14" max="14" width="17.28515625" bestFit="1" customWidth="1"/>
    <col min="15" max="15" width="15.42578125" bestFit="1" customWidth="1"/>
    <col min="16" max="16" width="13.42578125" bestFit="1" customWidth="1"/>
    <col min="17" max="17" width="15.28515625" bestFit="1" customWidth="1"/>
    <col min="18" max="18" width="16.42578125" bestFit="1" customWidth="1"/>
    <col min="19" max="19" width="14.7109375" bestFit="1" customWidth="1"/>
    <col min="20" max="22" width="13.42578125" bestFit="1" customWidth="1"/>
  </cols>
  <sheetData>
    <row r="1" spans="1:23" x14ac:dyDescent="0.25">
      <c r="A1" t="s">
        <v>2</v>
      </c>
      <c r="B1" t="s">
        <v>3</v>
      </c>
      <c r="C1" t="s">
        <v>4</v>
      </c>
      <c r="D1" t="str">
        <f>[1]BAU!H3</f>
        <v>EnvI</v>
      </c>
      <c r="E1" t="s">
        <v>12</v>
      </c>
      <c r="F1" t="s">
        <v>1</v>
      </c>
      <c r="G1" t="str">
        <f>[1]BAU!K3</f>
        <v>CPI</v>
      </c>
    </row>
    <row r="2" spans="1:23" x14ac:dyDescent="0.25">
      <c r="A2" t="s">
        <v>5</v>
      </c>
      <c r="B2" t="s">
        <v>25</v>
      </c>
      <c r="C2" t="str">
        <f>A2</f>
        <v>BAU</v>
      </c>
      <c r="D2" s="9">
        <f>BAU!B62/100</f>
        <v>0.58628356634099998</v>
      </c>
      <c r="E2" s="9">
        <f>BAU!E62/100</f>
        <v>9.4233087698899987E-2</v>
      </c>
      <c r="F2" s="9">
        <f>BAU!H62/100</f>
        <v>0.69039566020900001</v>
      </c>
      <c r="G2" s="9">
        <f>BAU!K62/100</f>
        <v>0.56042136067199999</v>
      </c>
    </row>
    <row r="3" spans="1:23" x14ac:dyDescent="0.25">
      <c r="A3" t="s">
        <v>5</v>
      </c>
      <c r="B3" t="s">
        <v>6</v>
      </c>
      <c r="C3" t="str">
        <f>A3&amp;"-"&amp;B3</f>
        <v>BAU-P</v>
      </c>
      <c r="D3" s="9">
        <f>BAI!C62/100</f>
        <v>0.57540369356300003</v>
      </c>
      <c r="E3" s="9">
        <f>BAI!G62/100</f>
        <v>0.23264244405100001</v>
      </c>
      <c r="F3" s="9">
        <f>BAI!K62/100</f>
        <v>0.69704492613000002</v>
      </c>
      <c r="G3" s="9">
        <f>BAI!O62/100</f>
        <v>0.58211606812600003</v>
      </c>
      <c r="T3" t="s">
        <v>5</v>
      </c>
      <c r="U3" s="4">
        <v>0.74778594872000004</v>
      </c>
      <c r="V3" s="4">
        <v>0.13791140156699999</v>
      </c>
      <c r="W3" s="4">
        <v>0.58340996450299998</v>
      </c>
    </row>
    <row r="4" spans="1:23" x14ac:dyDescent="0.25">
      <c r="A4" t="s">
        <v>5</v>
      </c>
      <c r="B4" t="s">
        <v>7</v>
      </c>
      <c r="C4" t="str">
        <f t="shared" ref="C4:C7" si="0">A4&amp;"-"&amp;B4</f>
        <v>BAU-W</v>
      </c>
      <c r="D4" s="10">
        <f>BAI!D62/100</f>
        <v>0.60587232805400004</v>
      </c>
      <c r="E4" s="10">
        <f>BAI!H62/100</f>
        <v>8.9313013059399995E-2</v>
      </c>
      <c r="F4" s="10">
        <f>BAI!L62/100</f>
        <v>0.77500297888199998</v>
      </c>
      <c r="G4" s="10">
        <f>BAI!P62/100</f>
        <v>0.60884472649099997</v>
      </c>
      <c r="K4" s="2"/>
      <c r="O4" s="2"/>
      <c r="T4" t="s">
        <v>13</v>
      </c>
      <c r="U4" s="4">
        <v>0.73987628577600006</v>
      </c>
      <c r="V4" s="4">
        <v>0.20753667948099999</v>
      </c>
      <c r="W4" s="4">
        <v>0.59629305613700001</v>
      </c>
    </row>
    <row r="5" spans="1:23" x14ac:dyDescent="0.25">
      <c r="A5" t="s">
        <v>5</v>
      </c>
      <c r="B5" t="s">
        <v>60</v>
      </c>
      <c r="C5" t="str">
        <f t="shared" si="0"/>
        <v>BAU-PW</v>
      </c>
      <c r="D5" s="9">
        <f>BAI!E62/100</f>
        <v>0.59675671602800007</v>
      </c>
      <c r="E5" s="9">
        <f>BAI!I62/100</f>
        <v>0.183205736412</v>
      </c>
      <c r="F5" s="9">
        <f>BAI!M62/100</f>
        <v>0.73497740323900007</v>
      </c>
      <c r="G5" s="9">
        <f>BAI!Q62/100</f>
        <v>0.60055449140399997</v>
      </c>
      <c r="T5" t="s">
        <v>14</v>
      </c>
      <c r="U5" s="4">
        <v>0.74731989600000004</v>
      </c>
      <c r="V5" s="4">
        <v>0.13945935423399999</v>
      </c>
      <c r="W5" s="4">
        <v>0.65919225224200007</v>
      </c>
    </row>
    <row r="6" spans="1:23" x14ac:dyDescent="0.25">
      <c r="A6" t="s">
        <v>38</v>
      </c>
      <c r="B6" t="s">
        <v>6</v>
      </c>
      <c r="C6" t="str">
        <f t="shared" si="0"/>
        <v>OP-P</v>
      </c>
      <c r="D6" s="10">
        <f>'BAV-OP'!C62/100</f>
        <v>0.58747679901500005</v>
      </c>
      <c r="E6" s="10">
        <f>'BAV-OP'!G62/100</f>
        <v>0.15578183493299999</v>
      </c>
      <c r="F6" s="10">
        <f>'BAV-OP'!K62/100</f>
        <v>0.68772698595899995</v>
      </c>
      <c r="G6" s="10">
        <f>'BAV-OP'!O62/100</f>
        <v>0.56927191984399994</v>
      </c>
      <c r="T6" t="s">
        <v>15</v>
      </c>
      <c r="U6" s="4">
        <v>0.73800258628600002</v>
      </c>
      <c r="V6" s="4">
        <v>0.20601351387800002</v>
      </c>
      <c r="W6" s="4">
        <v>0.67214380532199991</v>
      </c>
    </row>
    <row r="7" spans="1:23" x14ac:dyDescent="0.25">
      <c r="A7" t="s">
        <v>38</v>
      </c>
      <c r="B7" t="s">
        <v>7</v>
      </c>
      <c r="C7" t="str">
        <f t="shared" si="0"/>
        <v>OP-W</v>
      </c>
      <c r="D7" s="10">
        <f>'BAV-OP'!D62/100</f>
        <v>0.562155244695</v>
      </c>
      <c r="E7" s="10">
        <f>'BAV-OP'!H62/100</f>
        <v>9.1241434059300006E-2</v>
      </c>
      <c r="F7" s="10">
        <f>'BAV-OP'!L62/100</f>
        <v>0.774577404099</v>
      </c>
      <c r="G7" s="10">
        <f>'BAV-OP'!P62/100</f>
        <v>0.594184211786</v>
      </c>
      <c r="T7" t="s">
        <v>16</v>
      </c>
      <c r="U7" s="4">
        <v>0.74575998827500001</v>
      </c>
      <c r="V7" s="4">
        <v>0.124292003</v>
      </c>
      <c r="W7" s="4">
        <v>0.58645852287199995</v>
      </c>
    </row>
    <row r="8" spans="1:23" x14ac:dyDescent="0.25">
      <c r="A8" t="s">
        <v>38</v>
      </c>
      <c r="B8" t="s">
        <v>60</v>
      </c>
      <c r="C8" t="str">
        <f>A8&amp;"-"&amp;B8</f>
        <v>OP-PW</v>
      </c>
      <c r="D8" s="10">
        <f>'BAV-OP'!E62/100</f>
        <v>0.52201398477600003</v>
      </c>
      <c r="E8" s="10">
        <f>'BAV-OP'!I62/100</f>
        <v>0.23095582497199998</v>
      </c>
      <c r="F8" s="10">
        <f>'BAV-OP'!M62/100</f>
        <v>0.73553778964799998</v>
      </c>
      <c r="G8" s="10">
        <f>'BAV-OP'!Q62/100</f>
        <v>0.58320974772800005</v>
      </c>
      <c r="T8" t="s">
        <v>17</v>
      </c>
      <c r="U8" s="4">
        <v>0.74656215190099995</v>
      </c>
      <c r="V8" s="4">
        <v>0.137056409075</v>
      </c>
      <c r="W8" s="4">
        <v>0.56590349723599997</v>
      </c>
    </row>
    <row r="9" spans="1:23" x14ac:dyDescent="0.25">
      <c r="A9" t="s">
        <v>39</v>
      </c>
      <c r="B9" t="s">
        <v>6</v>
      </c>
      <c r="C9" t="str">
        <f>A9&amp;"-"&amp;B9</f>
        <v>PE-P</v>
      </c>
      <c r="D9" s="10">
        <f>'BAV-PE'!C62/100</f>
        <v>0.65126032450299998</v>
      </c>
      <c r="E9" s="10">
        <f>'BAV-PE'!G62/100</f>
        <v>0.12626689953799999</v>
      </c>
      <c r="F9" s="10">
        <f>'BAV-PE'!K62/100</f>
        <v>0.69000451698499998</v>
      </c>
      <c r="G9" s="10">
        <f>'BAV-PE'!O62/100</f>
        <v>0.58724797274099994</v>
      </c>
      <c r="T9" t="s">
        <v>18</v>
      </c>
      <c r="U9" s="4">
        <v>0.74468044409800005</v>
      </c>
      <c r="V9" s="4">
        <v>0.12919700063299999</v>
      </c>
      <c r="W9" s="4">
        <v>0.56945125773999994</v>
      </c>
    </row>
    <row r="10" spans="1:23" x14ac:dyDescent="0.25">
      <c r="A10" t="s">
        <v>39</v>
      </c>
      <c r="B10" t="s">
        <v>7</v>
      </c>
      <c r="C10" t="str">
        <f>A10&amp;"-"&amp;B10</f>
        <v>PE-W</v>
      </c>
      <c r="D10" s="10">
        <f>'BAV-PE'!D62/100</f>
        <v>0.667460953124</v>
      </c>
      <c r="E10" s="10">
        <f>'BAV-PE'!H62/100</f>
        <v>8.7779360071700008E-2</v>
      </c>
      <c r="F10" s="10">
        <f>'BAV-PE'!L62/100</f>
        <v>0.77585002045399998</v>
      </c>
      <c r="G10" s="10">
        <f>'BAV-PE'!P62/100</f>
        <v>0.62981127203800003</v>
      </c>
      <c r="T10" t="s">
        <v>19</v>
      </c>
      <c r="U10" s="4">
        <v>0.71940258044600003</v>
      </c>
      <c r="V10" s="4">
        <v>0.17910100329999998</v>
      </c>
      <c r="W10" s="4">
        <v>0.63837537849199999</v>
      </c>
    </row>
    <row r="11" spans="1:23" x14ac:dyDescent="0.25">
      <c r="A11" t="s">
        <v>39</v>
      </c>
      <c r="B11" t="s">
        <v>60</v>
      </c>
      <c r="C11" t="str">
        <f>A11&amp;"-"&amp;B11</f>
        <v>PE-PW</v>
      </c>
      <c r="D11" s="10">
        <f>'BAV-PE'!E62/100</f>
        <v>0.6533450749719999</v>
      </c>
      <c r="E11" s="10">
        <f>'BAV-PE'!I62/100</f>
        <v>0.17426555929100002</v>
      </c>
      <c r="F11" s="10">
        <f>'BAV-PE'!M62/100</f>
        <v>0.73738682952299994</v>
      </c>
      <c r="G11" s="10">
        <f>'BAV-PE'!Q62/100</f>
        <v>0.61944193775699996</v>
      </c>
      <c r="T11" t="s">
        <v>20</v>
      </c>
      <c r="U11" s="4">
        <v>0.71629545722200005</v>
      </c>
      <c r="V11" s="4">
        <v>0.13755399306799998</v>
      </c>
      <c r="W11" s="4">
        <v>0.56724443945799996</v>
      </c>
    </row>
    <row r="12" spans="1:23" x14ac:dyDescent="0.25">
      <c r="T12" t="s">
        <v>21</v>
      </c>
      <c r="U12" s="4">
        <v>0.71178640642299995</v>
      </c>
      <c r="V12" s="4">
        <v>0.16862420212599999</v>
      </c>
      <c r="W12" s="4">
        <v>0.62657388570899997</v>
      </c>
    </row>
    <row r="13" spans="1:23" x14ac:dyDescent="0.25">
      <c r="T13" t="s">
        <v>22</v>
      </c>
      <c r="U13" s="4">
        <v>0.78915870616099992</v>
      </c>
      <c r="V13" s="4">
        <v>0.17821247380500002</v>
      </c>
      <c r="W13" s="4">
        <v>0.654367240377</v>
      </c>
    </row>
    <row r="14" spans="1:23" x14ac:dyDescent="0.25">
      <c r="H14" s="2"/>
      <c r="L14" s="2"/>
      <c r="P14" s="2"/>
      <c r="T14" t="s">
        <v>23</v>
      </c>
      <c r="U14" s="4">
        <v>0.78641087598199999</v>
      </c>
      <c r="V14" s="4">
        <v>0.13896905365199999</v>
      </c>
      <c r="W14" s="4">
        <v>0.58150624493499992</v>
      </c>
    </row>
    <row r="15" spans="1:23" x14ac:dyDescent="0.25">
      <c r="C15" t="s">
        <v>8</v>
      </c>
      <c r="D15" s="8">
        <f>MAX(D3:D5)</f>
        <v>0.60587232805400004</v>
      </c>
      <c r="E15" s="8">
        <f>MAX(E3:E5)</f>
        <v>0.23264244405100001</v>
      </c>
      <c r="F15" s="8">
        <f>MAX(F3:F5)</f>
        <v>0.77500297888199998</v>
      </c>
      <c r="G15" s="8">
        <f>MAX(G3:G5)</f>
        <v>0.60884472649099997</v>
      </c>
      <c r="T15" t="s">
        <v>24</v>
      </c>
      <c r="U15" s="4">
        <v>0.78476450868399994</v>
      </c>
      <c r="V15" s="4">
        <v>0.17810577912300002</v>
      </c>
      <c r="W15" s="4">
        <v>0.647097097043</v>
      </c>
    </row>
    <row r="16" spans="1:23" x14ac:dyDescent="0.25">
      <c r="C16" t="s">
        <v>9</v>
      </c>
      <c r="D16" s="8">
        <f>MAX(D2:D11)</f>
        <v>0.667460953124</v>
      </c>
      <c r="E16" s="8">
        <f t="shared" ref="E16:G16" si="1">MAX(E2:E11)</f>
        <v>0.23264244405100001</v>
      </c>
      <c r="F16" s="8">
        <f t="shared" si="1"/>
        <v>0.77585002045399998</v>
      </c>
      <c r="G16" s="8">
        <f t="shared" si="1"/>
        <v>0.62981127203800003</v>
      </c>
    </row>
    <row r="17" spans="3:16" x14ac:dyDescent="0.25">
      <c r="C17" t="s">
        <v>10</v>
      </c>
      <c r="D17" s="8">
        <f>(D16-D15)/D15</f>
        <v>0.10165281069663031</v>
      </c>
      <c r="E17" s="8">
        <f>(E16-E15)/E15</f>
        <v>0</v>
      </c>
      <c r="F17" s="8">
        <f>(F16-F15)/F15</f>
        <v>1.0929526660941574E-3</v>
      </c>
      <c r="G17" s="8">
        <f>(G16-G15)/G15</f>
        <v>3.4436605319451662E-2</v>
      </c>
    </row>
    <row r="18" spans="3:16" x14ac:dyDescent="0.25">
      <c r="C18" t="s">
        <v>11</v>
      </c>
      <c r="D18" s="8">
        <f>(D16-D2)/D2</f>
        <v>0.13846096231151195</v>
      </c>
      <c r="E18" s="8">
        <f>ABS((E16-E2)/E2)</f>
        <v>1.4687978472524967</v>
      </c>
      <c r="F18" s="8">
        <f>(F16-F2)/F2</f>
        <v>0.12377592324252271</v>
      </c>
      <c r="G18" s="8">
        <f>(G16-G2)/G2</f>
        <v>0.12381739211866362</v>
      </c>
    </row>
    <row r="19" spans="3:16" x14ac:dyDescent="0.25">
      <c r="H19" s="2"/>
      <c r="P19" s="2"/>
    </row>
    <row r="21" spans="3:16" x14ac:dyDescent="0.25">
      <c r="D21">
        <f>D5/$D$2-1</f>
        <v>1.786362485369164E-2</v>
      </c>
      <c r="G21">
        <f>G5/$G$2-1</f>
        <v>7.1612421560585116E-2</v>
      </c>
    </row>
    <row r="22" spans="3:16" x14ac:dyDescent="0.25">
      <c r="D22">
        <f>D8/$D$2-1</f>
        <v>-0.10962200759967888</v>
      </c>
      <c r="G22">
        <f>G8/$G$2-1</f>
        <v>4.0662952298382349E-2</v>
      </c>
    </row>
    <row r="23" spans="3:16" x14ac:dyDescent="0.25">
      <c r="D23">
        <f>D9/$D$2-1</f>
        <v>0.11082820991814657</v>
      </c>
      <c r="G23">
        <f>G9/$G$2-1</f>
        <v>4.7868646614098065E-2</v>
      </c>
    </row>
  </sheetData>
  <sortState xmlns:xlrd2="http://schemas.microsoft.com/office/spreadsheetml/2017/richdata2" ref="C77:E89">
    <sortCondition ref="D77:D89"/>
  </sortState>
  <conditionalFormatting sqref="D2:D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BAU</vt:lpstr>
      <vt:lpstr>BAI</vt:lpstr>
      <vt:lpstr>BAV-OP</vt:lpstr>
      <vt:lpstr>BAV-PE</vt:lpstr>
      <vt:lpstr>BAU-ES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AVILA CHOCONTA</dc:creator>
  <cp:lastModifiedBy>Harold Avila</cp:lastModifiedBy>
  <dcterms:created xsi:type="dcterms:W3CDTF">2015-06-05T18:19:34Z</dcterms:created>
  <dcterms:modified xsi:type="dcterms:W3CDTF">2025-09-27T18:23:57Z</dcterms:modified>
</cp:coreProperties>
</file>